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Yuksalish\16-Жилдом Sattepo Avenyu\"/>
    </mc:Choice>
  </mc:AlternateContent>
  <xr:revisionPtr revIDLastSave="0" documentId="13_ncr:1_{0F86540F-8610-4886-8024-6C32DD941CB5}" xr6:coauthVersionLast="45" xr6:coauthVersionMax="47" xr10:uidLastSave="{00000000-0000-0000-0000-000000000000}"/>
  <bookViews>
    <workbookView xWindow="-98" yWindow="-98" windowWidth="28996" windowHeight="15675" activeTab="1" xr2:uid="{B0DDBC91-EEA6-4E2A-A4AA-7AE33CB371AA}"/>
  </bookViews>
  <sheets>
    <sheet name="ресурс" sheetId="3" r:id="rId1"/>
    <sheet name="единич" sheetId="2" r:id="rId2"/>
    <sheet name="ВОР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na1">#REF!</definedName>
    <definedName name="__________na1">#REF!</definedName>
    <definedName name="_________na1">#REF!</definedName>
    <definedName name="________na1">#REF!</definedName>
    <definedName name="_______na1">#REF!</definedName>
    <definedName name="______na1">#REF!</definedName>
    <definedName name="_____na1">#REF!</definedName>
    <definedName name="____na1">#REF!</definedName>
    <definedName name="___na1">#REF!</definedName>
    <definedName name="__na1">#REF!</definedName>
    <definedName name="__na2">'[1]Ведомость ресурсов'!#REF!</definedName>
    <definedName name="__na3">'[1]Ведомость работ'!#REF!</definedName>
    <definedName name="__na4">#REF!</definedName>
    <definedName name="__na5">#REF!</definedName>
    <definedName name="__na6">#REF!</definedName>
    <definedName name="__na7">#REF!</definedName>
    <definedName name="__na8">#REF!</definedName>
    <definedName name="_na1">#REF!</definedName>
    <definedName name="_xlnm._FilterDatabase" localSheetId="2" hidden="1">ВОР!$A$1:$F$41</definedName>
    <definedName name="_xlnm._FilterDatabase" localSheetId="1" hidden="1">единич!$A$1:$F$11</definedName>
    <definedName name="_xlnm._FilterDatabase" localSheetId="0" hidden="1">ресурс!$A$1:$G$54</definedName>
    <definedName name="bases">#REF!</definedName>
    <definedName name="bases1">#REF!</definedName>
    <definedName name="bases2">'[2]Вед. рес-в'!#REF!</definedName>
    <definedName name="bases3">'[2]Вед. р-т'!#REF!</definedName>
    <definedName name="bases4">#REF!</definedName>
    <definedName name="bases5">#REF!</definedName>
    <definedName name="bases6">#REF!</definedName>
    <definedName name="bases7">#REF!</definedName>
    <definedName name="bases8">#REF!</definedName>
    <definedName name="Build">#REF!</definedName>
    <definedName name="Build1">#REF!</definedName>
    <definedName name="Build2">'[2]Вед. рес-в'!#REF!</definedName>
    <definedName name="Build3">'[2]Вед. р-т'!#REF!</definedName>
    <definedName name="Build4">#REF!</definedName>
    <definedName name="Build5">#REF!</definedName>
    <definedName name="Build6">#REF!</definedName>
    <definedName name="Build7">#REF!</definedName>
    <definedName name="Build8">#REF!</definedName>
    <definedName name="Data">'[2]Л-р в-сть'!#REF!</definedName>
    <definedName name="document_date">#REF!</definedName>
    <definedName name="document_datу">#REF!</definedName>
    <definedName name="document_number">#REF!</definedName>
    <definedName name="itog_title">#REF!</definedName>
    <definedName name="lsv">#REF!</definedName>
    <definedName name="month">#REF!</definedName>
    <definedName name="month_begin">#REF!</definedName>
    <definedName name="month_end">#REF!</definedName>
    <definedName name="number">#REF!</definedName>
    <definedName name="object">#REF!</definedName>
    <definedName name="object_name">#REF!</definedName>
    <definedName name="OBJECT_NUMBER1">#REF!</definedName>
    <definedName name="OBJECT_NUMBER2">'[1]Ведомость ресурсов'!#REF!</definedName>
    <definedName name="OBJECT_NUMBER4">#REF!</definedName>
    <definedName name="OBJECT_NUMBER5">#REF!</definedName>
    <definedName name="OBJECT_NUMBER6">#REF!</definedName>
    <definedName name="OBJECT_NUMBER7">#REF!</definedName>
    <definedName name="OBJECT_NUMBER8">#REF!</definedName>
    <definedName name="object1">#REF!</definedName>
    <definedName name="object2">'[2]Вед. рес-в'!#REF!</definedName>
    <definedName name="object3">'[2]Вед. р-т'!#REF!</definedName>
    <definedName name="object4">#REF!</definedName>
    <definedName name="object5">#REF!</definedName>
    <definedName name="object6">#REF!</definedName>
    <definedName name="object7">#REF!</definedName>
    <definedName name="object8">#REF!</definedName>
    <definedName name="PR">#REF!</definedName>
    <definedName name="summa_work">#REF!</definedName>
    <definedName name="Title">#REF!</definedName>
    <definedName name="work_title">#REF!</definedName>
    <definedName name="А">#REF!</definedName>
    <definedName name="ВЫА">#REF!</definedName>
    <definedName name="_xlnm.Print_Titles" localSheetId="2">ВОР!$11:$11</definedName>
    <definedName name="_xlnm.Print_Titles" localSheetId="1">единич!$11:$11</definedName>
    <definedName name="_xlnm.Print_Titles" localSheetId="0">ресурс!#REF!</definedName>
    <definedName name="копия">'[3]Вед. рес.'!$A$1</definedName>
    <definedName name="Л">[4]bx_abc4!#REF!</definedName>
    <definedName name="_xlnm.Print_Area" localSheetId="2">ВОР!$A$1:$F$41</definedName>
    <definedName name="_xlnm.Print_Area" localSheetId="1">единич!$A$1:$F$69</definedName>
    <definedName name="_xlnm.Print_Area" localSheetId="0">ресурс!$A$1:$G$54</definedName>
    <definedName name="П">[4]bx_abc4!$E$171</definedName>
    <definedName name="Р">[4]bx_abc4!#REF!</definedName>
    <definedName name="труд">#REF!</definedName>
    <definedName name="Ф">'[5]15916341_А0'!$E$2097</definedName>
    <definedName name="Я">'[6]903431_А0'!#REF!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2" i="3" l="1"/>
  <c r="G33" i="3" l="1"/>
  <c r="G34" i="3"/>
  <c r="G40" i="3" l="1"/>
  <c r="G41" i="3"/>
  <c r="G42" i="3"/>
  <c r="G43" i="3"/>
  <c r="G44" i="3"/>
  <c r="G45" i="3"/>
  <c r="G46" i="3"/>
  <c r="G47" i="3"/>
  <c r="G48" i="3"/>
  <c r="G39" i="3"/>
  <c r="G32" i="3"/>
  <c r="G35" i="3" s="1"/>
  <c r="G49" i="3" l="1"/>
  <c r="G36" i="3"/>
  <c r="G37" i="3" s="1"/>
  <c r="G50" i="3" l="1"/>
  <c r="G51" i="3" s="1"/>
  <c r="G27" i="3"/>
  <c r="G26" i="3"/>
  <c r="G25" i="3"/>
  <c r="G24" i="3"/>
  <c r="G23" i="3"/>
  <c r="G22" i="3"/>
  <c r="G21" i="3"/>
  <c r="G20" i="3"/>
  <c r="G19" i="3"/>
  <c r="G28" i="3" s="1"/>
  <c r="G16" i="3"/>
  <c r="G17" i="3" s="1"/>
  <c r="G13" i="3"/>
  <c r="G14" i="3" s="1"/>
  <c r="G29" i="3" l="1"/>
  <c r="G30" i="3" s="1"/>
</calcChain>
</file>

<file path=xl/sharedStrings.xml><?xml version="1.0" encoding="utf-8"?>
<sst xmlns="http://schemas.openxmlformats.org/spreadsheetml/2006/main" count="407" uniqueCount="127">
  <si>
    <t>(наименование стройки)</t>
  </si>
  <si>
    <t>(локальная ресурсная смета)</t>
  </si>
  <si>
    <t xml:space="preserve">                   </t>
  </si>
  <si>
    <t>N п.п.</t>
  </si>
  <si>
    <t>Шифр номера нормативов и коды ресурсов</t>
  </si>
  <si>
    <t>Наименование работ и затрат</t>
  </si>
  <si>
    <t>Единица измерения</t>
  </si>
  <si>
    <t xml:space="preserve">Количество </t>
  </si>
  <si>
    <t>на. ед. измерения</t>
  </si>
  <si>
    <t>по проектным данным</t>
  </si>
  <si>
    <t>1</t>
  </si>
  <si>
    <t>ЗАТРАТЫ ТРУДА РАБОЧИХ-СТРОИТЕЛЕЙ</t>
  </si>
  <si>
    <t>ЧЕЛ.-Ч</t>
  </si>
  <si>
    <t>МАШ.-Ч</t>
  </si>
  <si>
    <t>Т</t>
  </si>
  <si>
    <t>2</t>
  </si>
  <si>
    <t>3</t>
  </si>
  <si>
    <t>4</t>
  </si>
  <si>
    <t>5</t>
  </si>
  <si>
    <t>ДРЕЛИ ЭЛЕКТРИЧЕСКИЕ</t>
  </si>
  <si>
    <t>6</t>
  </si>
  <si>
    <t>7</t>
  </si>
  <si>
    <t>8</t>
  </si>
  <si>
    <t>ШТ</t>
  </si>
  <si>
    <t>М</t>
  </si>
  <si>
    <t>9</t>
  </si>
  <si>
    <t>10</t>
  </si>
  <si>
    <t>С</t>
  </si>
  <si>
    <t>ТРУДОВЫЕ РЕСУРСЫ</t>
  </si>
  <si>
    <t>СТРОИТЕЛЬНЫЕ МАШИНЫ И МЕХАНИЗМЫ</t>
  </si>
  <si>
    <t>МАТЕРИАЛЬНЫЕ РЕСУРСЫ</t>
  </si>
  <si>
    <t>ЛОКАЛЬНЫЙ РЕСУРСНЫЙ СМЕТНЫЙ РАСЧЕТ</t>
  </si>
  <si>
    <t>Сметная стоимость</t>
  </si>
  <si>
    <t>СУМ</t>
  </si>
  <si>
    <t>в базисном уровне</t>
  </si>
  <si>
    <t>на.ед.изм.</t>
  </si>
  <si>
    <t>общая</t>
  </si>
  <si>
    <t>ИТОГО ПО ТРУДОВЫМ РЕСУРСАМ:</t>
  </si>
  <si>
    <t>ИТОГО ПО СТРОИТЕЛЬНЫМ МАШИНАМ:</t>
  </si>
  <si>
    <t>ИТОГО ПО СТРОИТЕЛЬНЫМ МАТЕРИАЛАМ:</t>
  </si>
  <si>
    <t>ИТОГО ПРЯМЫЕ ЗАТРАТЫ</t>
  </si>
  <si>
    <t>ИТОГО</t>
  </si>
  <si>
    <t>КГ</t>
  </si>
  <si>
    <t>ГИПСОВЫЕ ВЯЖУЩИЕ Г-3</t>
  </si>
  <si>
    <t>Локально-ресурсная ведомость.</t>
  </si>
  <si>
    <t>10 ШТ</t>
  </si>
  <si>
    <t>100М</t>
  </si>
  <si>
    <t>ЛЕНТА ЛИПКАЯ ИЗОЛЯЦИОННАЯ НА ПОЛИКАСИНОВОМ КОМПАУНДЕ МАРКИ ЛСЭПЛ, ШИРИНОЙ 20-30 ММ, ТОЛЩИНОЙ ОТ 0,14 ДО 0,19 ММ ВКЛЮЧИТЕЛЬНО</t>
  </si>
  <si>
    <t>ГОФРА ТРУБА ДУ16</t>
  </si>
  <si>
    <t xml:space="preserve">ТРАНСПОРТНЫЕ РАСХОДЫ НА МАТЕРИАЛЫ </t>
  </si>
  <si>
    <t>КАБЕЛЬНАЯ ПРОДУКЦИЯ</t>
  </si>
  <si>
    <t>О</t>
  </si>
  <si>
    <t>ИТОГО:</t>
  </si>
  <si>
    <t xml:space="preserve"> ТРАНСПОРТНЫЕ РАСХОДЫ НА КАБЕЛЬНУЮ ПРОДУКЦИЮ:</t>
  </si>
  <si>
    <t>ИТОГО ПО КАБЕЛЬНОЙ ПРОДУКЦИЕЙ:</t>
  </si>
  <si>
    <t xml:space="preserve"> ОБОРУДОВАНИЕ</t>
  </si>
  <si>
    <t>ТРАНСПОРТНЫЕ  РАСХОДЫ НА ОБОРУДОВАНИЕ -2%</t>
  </si>
  <si>
    <t>ИТОГО ПО ОБОРУДОВАНИЮ:</t>
  </si>
  <si>
    <t>ПОЖАРНАЯ СИГНАЛИЗАЦИЯ</t>
  </si>
  <si>
    <t>648</t>
  </si>
  <si>
    <t>Ц1008-002-02</t>
  </si>
  <si>
    <t>ИЗВЕЩАТЕЛИ ПС АВТОМАТИЧЕСКИЕ:</t>
  </si>
  <si>
    <t>649</t>
  </si>
  <si>
    <t>ИЗВЕЩАТЕЛЬ ПОЖАРНЫЙ ДЫМОВОЙ ДИП 34А</t>
  </si>
  <si>
    <t>650</t>
  </si>
  <si>
    <t>ИПР-513-10 ИЗВЕЩАТЕЛЬ ПОЖАРНЫЙ</t>
  </si>
  <si>
    <t>651</t>
  </si>
  <si>
    <t>Ц1008-003-01</t>
  </si>
  <si>
    <t>ПРИБОР СИГНАЛИЗИРУЮЩИЙ ЕМКОСТНОЙ</t>
  </si>
  <si>
    <t>652</t>
  </si>
  <si>
    <t>ОПОВЕЩАТЕЛЬ ОХРАННО-ПОЖАРНЫЙ СВЕТО-ЗВУКОВОЙ АДРЕСНЫЙ С2000-ОПЗ</t>
  </si>
  <si>
    <t>653</t>
  </si>
  <si>
    <t>Ц1004-066-04</t>
  </si>
  <si>
    <t>АППАРАТУРА НАСТЕННОГО ТИПА. КОРОБКА КАБЕЛЬНАЯ СОЕДИНИТЕЛЬНАЯ ИЛИ РАЗВЕТВИТЕЛЬНАЯ</t>
  </si>
  <si>
    <t>654</t>
  </si>
  <si>
    <t>БЛОК РАЗВЕТВИТЕЛЬНО-ИЗОЛИРУЮЩИЙ БРИЗ</t>
  </si>
  <si>
    <t>655</t>
  </si>
  <si>
    <t>Ц1008-001-06</t>
  </si>
  <si>
    <t>ПРИБОРЫ ПРИЕМНО-КОНТРОЛЬНЫЕ СИГНАЛЬНЫЕ. КОНЦЕНТРАТОР: БЛОК БАЗОВЫЙ НА 10 ЛУЧЕЙ</t>
  </si>
  <si>
    <t>ДЮБЕЛИ ПЛАСТМАССОВЫЕ С ШУРУПАМИ 12Х70 ММ</t>
  </si>
  <si>
    <t>656</t>
  </si>
  <si>
    <t>КОНТРОЛЛЕР ДВУХПРОВОДНОЙ ЛИНИИ СВЯЗИ С2000-КДЛ</t>
  </si>
  <si>
    <t>657</t>
  </si>
  <si>
    <t>Ц1008-003-06</t>
  </si>
  <si>
    <t>УСТРОЙСТВА ОПТИКО-[ФОТО]ЭЛЕКТРИЧЕСКИЕ: БЛОК ПИТАНИЯ И КОНТРОЛЯ</t>
  </si>
  <si>
    <t>658</t>
  </si>
  <si>
    <t>РЕЗЕРВИРОВАННЫЙ ИСТОЧНИК ПИТАНИЯ 12В-3А-17АЧ</t>
  </si>
  <si>
    <t>659</t>
  </si>
  <si>
    <t>Ц0801-121-1</t>
  </si>
  <si>
    <t>АККУМУЛЯТОР</t>
  </si>
  <si>
    <t>660</t>
  </si>
  <si>
    <t>АККУМУЛЯТОРНАЯ БАТАРЕЯ FM 1270</t>
  </si>
  <si>
    <t>661</t>
  </si>
  <si>
    <t>662</t>
  </si>
  <si>
    <t>ШКАФ ПОЖАРНОЙ СИГНАЛИЗАЦИИ ШПС</t>
  </si>
  <si>
    <t>663</t>
  </si>
  <si>
    <t>664</t>
  </si>
  <si>
    <t>ОПОВЕЩАТЕЛЬ ПОЖАРНЫЙ СВЕТОВОЙ ВЫХОД, 12В</t>
  </si>
  <si>
    <t>665</t>
  </si>
  <si>
    <t>Ц1001-55-8</t>
  </si>
  <si>
    <t>ПРОКЛАДКА КАБЕЛЯ И ПРОВОДА ПО СТЕНАМ. ОДНОПАРНЫЙ ПРОВОД С КРЕПЛЕНИЕМ ПРОВОЛОЧНЫМИ СКРЕПАМИ ПО СТЕНЕ КИРПИЧНОЙ</t>
  </si>
  <si>
    <t>ШУРУПЫ С ПОЛУКРУГЛОЙ ГОЛОВКОЙ 5Х70 ММ</t>
  </si>
  <si>
    <t>666</t>
  </si>
  <si>
    <t>КАБЕЛЬ КСВВЭ 2Х0,8</t>
  </si>
  <si>
    <t>667</t>
  </si>
  <si>
    <t>КАБЕЛЬ FTP, 4 ПАРЫ CAT.5E, ВНЕШНИЙ, ЭКРАНИРОВАННЫЙ (КСВППЭ-5Е 4Х2Х0,52)</t>
  </si>
  <si>
    <t>668</t>
  </si>
  <si>
    <t>КАБЕЛЬ СИММЕТРИЧНЫЙ ПАРНОЙ СКРУТКИ НИЗКОТОКСИЧНЫЙ, СЕЧ.1Х2Х1,5 КПСВВНГ(А)-LSTX</t>
  </si>
  <si>
    <t>669</t>
  </si>
  <si>
    <t>670</t>
  </si>
  <si>
    <t>671</t>
  </si>
  <si>
    <t>ШКАФ КОММУНИКАЦИОННЫЙ</t>
  </si>
  <si>
    <t>672</t>
  </si>
  <si>
    <t>ТРУБА ВИНИПЛАСТОВАЯ ДУ50ММ</t>
  </si>
  <si>
    <t>673</t>
  </si>
  <si>
    <t>Ц1004-66-6</t>
  </si>
  <si>
    <t>АППАРАТУРА НАСТЕННОГО ТИПА. ТАБЛО СИГНАЛЬНОЕ СТУДИЙНОЕ ИЛИ КОРИДОРНОЕ</t>
  </si>
  <si>
    <t>БОЛТЫ С ШЕСТИГРАННОЙ ГОЛОВКОЙ ДИАМЕТРОМ РЕЗЬБЫ 20-(22) ММ</t>
  </si>
  <si>
    <t>674</t>
  </si>
  <si>
    <t>БЛОК ИНДИКАЦИИ С КЛАВИАТУРОЙ "С2000-БКИ"</t>
  </si>
  <si>
    <t>675</t>
  </si>
  <si>
    <t>Ц1008-1-6</t>
  </si>
  <si>
    <t>676</t>
  </si>
  <si>
    <t>ПУЛЬТ КОНТРОЛЯ И УПРАВЛЕНИЯ ОХРАННО-ПОЖАРНЫЙ С2000М</t>
  </si>
  <si>
    <t>объект - Пожарная сигнализация Блок №1,2.</t>
  </si>
  <si>
    <t>Строительство многоэтажных жилых домов на территории МФЙ "Хавиз Шерозий" в массиве Саттепо дом 23А в г.Самарканде.</t>
  </si>
  <si>
    <t>объект - Пожарная сигнализация Блок №1,2,3,4,5.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</si>
</sst>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######"/>
    <numFmt numFmtId="165" formatCode="_-* #,##0.00_р_._-;\-* #,##0.00_р_._-;_-* &quot;-&quot;??_р_._-;_-@_-"/>
  </numFmts>
  <fonts count="21"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9"/>
      <name val="Times New Roman Cyr"/>
      <family val="1"/>
      <charset val="204"/>
    </font>
    <font>
      <sz val="8"/>
      <name val="Arial"/>
      <family val="2"/>
      <charset val="204"/>
    </font>
    <font>
      <b/>
      <sz val="12"/>
      <name val="Times New Roman Cyr"/>
      <family val="1"/>
      <charset val="204"/>
    </font>
    <font>
      <b/>
      <sz val="11"/>
      <name val="Times New Roman Cyr"/>
      <charset val="204"/>
    </font>
    <font>
      <b/>
      <sz val="9"/>
      <name val="Times New Roman Cyr"/>
      <family val="1"/>
      <charset val="204"/>
    </font>
    <font>
      <sz val="10"/>
      <name val="Arial Cyr"/>
      <family val="2"/>
      <charset val="204"/>
    </font>
    <font>
      <sz val="10"/>
      <name val="Arial Cyr"/>
      <charset val="204"/>
    </font>
    <font>
      <b/>
      <sz val="12"/>
      <name val="Arial Cyr"/>
      <charset val="204"/>
    </font>
    <font>
      <sz val="8"/>
      <name val="Calibri"/>
      <family val="2"/>
      <charset val="204"/>
      <scheme val="minor"/>
    </font>
    <font>
      <b/>
      <sz val="10"/>
      <name val="Californian FB"/>
      <family val="1"/>
    </font>
    <font>
      <b/>
      <sz val="12"/>
      <name val="Californian FB"/>
      <family val="1"/>
    </font>
    <font>
      <sz val="9"/>
      <name val="Californian FB"/>
      <family val="1"/>
    </font>
    <font>
      <b/>
      <sz val="9"/>
      <name val="Californian FB"/>
      <family val="1"/>
    </font>
    <font>
      <sz val="9"/>
      <color rgb="FF800080"/>
      <name val="Californian FB"/>
      <family val="1"/>
    </font>
    <font>
      <sz val="9"/>
      <color rgb="FF003300"/>
      <name val="Californian FB"/>
      <family val="1"/>
    </font>
    <font>
      <sz val="9"/>
      <color rgb="FF000080"/>
      <name val="Californian FB"/>
      <family val="1"/>
    </font>
    <font>
      <sz val="9"/>
      <name val="Californian FB"/>
      <family val="1"/>
      <charset val="204"/>
    </font>
    <font>
      <b/>
      <sz val="9"/>
      <name val="Californian FB"/>
      <family val="1"/>
      <charset val="204"/>
    </font>
    <font>
      <b/>
      <sz val="9"/>
      <color indexed="8"/>
      <name val="Californian FB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dashed">
        <color rgb="FF333399"/>
      </bottom>
      <diagonal/>
    </border>
    <border>
      <left/>
      <right style="hair">
        <color rgb="FF000000"/>
      </right>
      <top style="hair">
        <color rgb="FF000000"/>
      </top>
      <bottom style="dashed">
        <color rgb="FF333399"/>
      </bottom>
      <diagonal/>
    </border>
    <border>
      <left style="hair">
        <color rgb="FF000000"/>
      </left>
      <right style="hair">
        <color rgb="FF000000"/>
      </right>
      <top style="dashed">
        <color rgb="FF333399"/>
      </top>
      <bottom style="hair">
        <color rgb="FF000000"/>
      </bottom>
      <diagonal/>
    </border>
    <border>
      <left/>
      <right style="hair">
        <color rgb="FF000000"/>
      </right>
      <top style="dashed">
        <color rgb="FF333399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8" fillId="0" borderId="0"/>
    <xf numFmtId="165" fontId="8" fillId="0" borderId="0" applyFont="0" applyFill="0" applyBorder="0" applyAlignment="0" applyProtection="0"/>
  </cellStyleXfs>
  <cellXfs count="139">
    <xf numFmtId="0" fontId="0" fillId="0" borderId="0" xfId="0"/>
    <xf numFmtId="0" fontId="1" fillId="0" borderId="0" xfId="1" applyAlignment="1">
      <alignment vertical="top"/>
    </xf>
    <xf numFmtId="0" fontId="1" fillId="0" borderId="0" xfId="1" applyAlignment="1">
      <alignment horizontal="right" vertical="top"/>
    </xf>
    <xf numFmtId="0" fontId="2" fillId="0" borderId="0" xfId="1" applyFont="1" applyAlignment="1">
      <alignment horizontal="center" vertical="top" wrapText="1"/>
    </xf>
    <xf numFmtId="0" fontId="1" fillId="0" borderId="0" xfId="1" applyAlignment="1">
      <alignment horizontal="left" vertical="top"/>
    </xf>
    <xf numFmtId="0" fontId="1" fillId="0" borderId="0" xfId="1" applyAlignment="1">
      <alignment horizontal="center" vertical="top"/>
    </xf>
    <xf numFmtId="0" fontId="2" fillId="0" borderId="0" xfId="1" applyFont="1" applyAlignment="1">
      <alignment horizontal="right" vertical="top"/>
    </xf>
    <xf numFmtId="0" fontId="1" fillId="0" borderId="0" xfId="1" applyAlignment="1">
      <alignment horizontal="center" vertical="center"/>
    </xf>
    <xf numFmtId="0" fontId="2" fillId="2" borderId="8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0" xfId="1"/>
    <xf numFmtId="0" fontId="9" fillId="3" borderId="3" xfId="3" applyFont="1" applyFill="1" applyBorder="1" applyAlignment="1">
      <alignment horizontal="center" vertical="top"/>
    </xf>
    <xf numFmtId="0" fontId="5" fillId="0" borderId="0" xfId="1" applyFont="1" applyAlignment="1">
      <alignment vertical="top" wrapText="1"/>
    </xf>
    <xf numFmtId="0" fontId="9" fillId="3" borderId="3" xfId="3" applyFont="1" applyFill="1" applyBorder="1" applyAlignment="1">
      <alignment vertical="top"/>
    </xf>
    <xf numFmtId="0" fontId="1" fillId="0" borderId="0" xfId="1" applyAlignment="1">
      <alignment vertical="center"/>
    </xf>
    <xf numFmtId="3" fontId="1" fillId="0" borderId="0" xfId="1" applyNumberFormat="1" applyAlignment="1">
      <alignment vertical="center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horizontal="left" vertical="center"/>
    </xf>
    <xf numFmtId="3" fontId="1" fillId="0" borderId="0" xfId="1" applyNumberFormat="1" applyAlignment="1">
      <alignment horizontal="left" vertical="center"/>
    </xf>
    <xf numFmtId="0" fontId="5" fillId="0" borderId="0" xfId="1" applyFont="1" applyAlignment="1">
      <alignment vertical="center" wrapText="1"/>
    </xf>
    <xf numFmtId="0" fontId="9" fillId="4" borderId="3" xfId="3" applyFont="1" applyFill="1" applyBorder="1" applyAlignment="1">
      <alignment vertical="center"/>
    </xf>
    <xf numFmtId="3" fontId="2" fillId="2" borderId="19" xfId="1" applyNumberFormat="1" applyFont="1" applyFill="1" applyBorder="1" applyAlignment="1">
      <alignment horizontal="center" vertical="center" wrapText="1"/>
    </xf>
    <xf numFmtId="0" fontId="11" fillId="2" borderId="19" xfId="1" applyFont="1" applyFill="1" applyBorder="1" applyAlignment="1">
      <alignment horizontal="center" vertical="center" wrapText="1"/>
    </xf>
    <xf numFmtId="3" fontId="11" fillId="2" borderId="19" xfId="1" applyNumberFormat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1" fillId="0" borderId="0" xfId="1" applyAlignment="1">
      <alignment vertical="top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3" fillId="0" borderId="21" xfId="1" applyFont="1" applyBorder="1" applyAlignment="1">
      <alignment horizontal="center" vertical="center" wrapText="1"/>
    </xf>
    <xf numFmtId="0" fontId="13" fillId="0" borderId="21" xfId="1" applyFont="1" applyBorder="1" applyAlignment="1">
      <alignment horizontal="left" vertical="center" wrapText="1"/>
    </xf>
    <xf numFmtId="0" fontId="14" fillId="0" borderId="21" xfId="1" applyFont="1" applyBorder="1" applyAlignment="1">
      <alignment horizontal="left" vertical="center" wrapText="1"/>
    </xf>
    <xf numFmtId="0" fontId="14" fillId="0" borderId="21" xfId="1" applyFont="1" applyBorder="1" applyAlignment="1">
      <alignment horizontal="right" vertical="center" wrapText="1"/>
    </xf>
    <xf numFmtId="3" fontId="14" fillId="0" borderId="21" xfId="1" applyNumberFormat="1" applyFont="1" applyBorder="1" applyAlignment="1">
      <alignment horizontal="right" vertical="center" wrapText="1"/>
    </xf>
    <xf numFmtId="0" fontId="13" fillId="0" borderId="22" xfId="1" applyFont="1" applyBorder="1" applyAlignment="1">
      <alignment horizontal="center" vertical="center" wrapText="1"/>
    </xf>
    <xf numFmtId="0" fontId="13" fillId="0" borderId="22" xfId="1" applyFont="1" applyBorder="1" applyAlignment="1">
      <alignment horizontal="left" vertical="center" wrapText="1"/>
    </xf>
    <xf numFmtId="3" fontId="14" fillId="0" borderId="22" xfId="1" applyNumberFormat="1" applyFont="1" applyBorder="1" applyAlignment="1">
      <alignment horizontal="right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right" vertical="center" wrapText="1"/>
    </xf>
    <xf numFmtId="3" fontId="14" fillId="2" borderId="22" xfId="1" applyNumberFormat="1" applyFont="1" applyFill="1" applyBorder="1" applyAlignment="1">
      <alignment horizontal="right" vertical="center" wrapText="1"/>
    </xf>
    <xf numFmtId="0" fontId="14" fillId="0" borderId="22" xfId="1" applyFont="1" applyBorder="1" applyAlignment="1">
      <alignment horizontal="left" vertical="center" wrapText="1"/>
    </xf>
    <xf numFmtId="0" fontId="14" fillId="0" borderId="22" xfId="1" applyFont="1" applyBorder="1" applyAlignment="1">
      <alignment horizontal="right" vertical="center" wrapText="1"/>
    </xf>
    <xf numFmtId="0" fontId="13" fillId="0" borderId="22" xfId="2" applyFont="1" applyBorder="1" applyAlignment="1">
      <alignment horizontal="center" vertical="center" wrapText="1"/>
    </xf>
    <xf numFmtId="0" fontId="14" fillId="0" borderId="22" xfId="2" applyFont="1" applyBorder="1" applyAlignment="1">
      <alignment horizontal="center" vertical="center" wrapText="1"/>
    </xf>
    <xf numFmtId="0" fontId="13" fillId="0" borderId="22" xfId="2" applyFont="1" applyBorder="1" applyAlignment="1">
      <alignment horizontal="right" vertical="center"/>
    </xf>
    <xf numFmtId="4" fontId="13" fillId="0" borderId="17" xfId="1" applyNumberFormat="1" applyFont="1" applyBorder="1" applyAlignment="1">
      <alignment horizontal="right" vertical="center" wrapText="1"/>
    </xf>
    <xf numFmtId="0" fontId="18" fillId="0" borderId="22" xfId="1" applyFont="1" applyBorder="1" applyAlignment="1">
      <alignment horizontal="center" vertical="center" wrapText="1"/>
    </xf>
    <xf numFmtId="0" fontId="18" fillId="0" borderId="22" xfId="1" applyFont="1" applyBorder="1" applyAlignment="1">
      <alignment horizontal="left" vertical="center" wrapText="1"/>
    </xf>
    <xf numFmtId="0" fontId="19" fillId="0" borderId="22" xfId="1" applyFont="1" applyBorder="1" applyAlignment="1">
      <alignment horizontal="center" vertical="center" wrapText="1"/>
    </xf>
    <xf numFmtId="0" fontId="18" fillId="0" borderId="22" xfId="1" applyFont="1" applyBorder="1" applyAlignment="1">
      <alignment horizontal="right" vertical="center" wrapText="1"/>
    </xf>
    <xf numFmtId="4" fontId="18" fillId="0" borderId="22" xfId="1" applyNumberFormat="1" applyFont="1" applyBorder="1" applyAlignment="1">
      <alignment horizontal="right" vertical="center" wrapText="1"/>
    </xf>
    <xf numFmtId="3" fontId="18" fillId="0" borderId="22" xfId="1" applyNumberFormat="1" applyFont="1" applyBorder="1" applyAlignment="1">
      <alignment horizontal="right" vertical="center" wrapText="1"/>
    </xf>
    <xf numFmtId="0" fontId="2" fillId="0" borderId="0" xfId="1" applyFont="1" applyAlignment="1">
      <alignment vertical="center"/>
    </xf>
    <xf numFmtId="0" fontId="2" fillId="0" borderId="0" xfId="1" applyFont="1" applyAlignment="1">
      <alignment vertical="top"/>
    </xf>
    <xf numFmtId="0" fontId="18" fillId="2" borderId="22" xfId="1" applyFont="1" applyFill="1" applyBorder="1" applyAlignment="1">
      <alignment horizontal="center" vertical="center" wrapText="1"/>
    </xf>
    <xf numFmtId="0" fontId="18" fillId="2" borderId="22" xfId="1" applyFont="1" applyFill="1" applyBorder="1" applyAlignment="1">
      <alignment horizontal="right" vertical="center" wrapText="1"/>
    </xf>
    <xf numFmtId="4" fontId="18" fillId="2" borderId="22" xfId="1" applyNumberFormat="1" applyFont="1" applyFill="1" applyBorder="1" applyAlignment="1">
      <alignment horizontal="right" vertical="center" wrapText="1"/>
    </xf>
    <xf numFmtId="0" fontId="20" fillId="0" borderId="22" xfId="0" applyFont="1" applyBorder="1" applyAlignment="1">
      <alignment horizontal="center" vertical="center" wrapText="1"/>
    </xf>
    <xf numFmtId="0" fontId="19" fillId="0" borderId="22" xfId="1" applyFont="1" applyBorder="1" applyAlignment="1">
      <alignment horizontal="right" vertical="center" wrapText="1"/>
    </xf>
    <xf numFmtId="3" fontId="19" fillId="0" borderId="22" xfId="1" applyNumberFormat="1" applyFont="1" applyBorder="1" applyAlignment="1">
      <alignment horizontal="right" vertical="center" wrapText="1"/>
    </xf>
    <xf numFmtId="0" fontId="2" fillId="0" borderId="0" xfId="1" applyFont="1"/>
    <xf numFmtId="0" fontId="18" fillId="0" borderId="22" xfId="2" applyFont="1" applyBorder="1" applyAlignment="1">
      <alignment horizontal="center" vertical="center"/>
    </xf>
    <xf numFmtId="0" fontId="18" fillId="0" borderId="22" xfId="2" applyFont="1" applyBorder="1" applyAlignment="1">
      <alignment vertical="center" wrapText="1"/>
    </xf>
    <xf numFmtId="0" fontId="19" fillId="0" borderId="22" xfId="2" applyFont="1" applyBorder="1" applyAlignment="1">
      <alignment horizontal="center" vertical="center" wrapText="1"/>
    </xf>
    <xf numFmtId="0" fontId="18" fillId="0" borderId="22" xfId="2" applyFont="1" applyBorder="1" applyAlignment="1">
      <alignment horizontal="center" vertical="center" wrapText="1"/>
    </xf>
    <xf numFmtId="0" fontId="18" fillId="0" borderId="22" xfId="2" applyFont="1" applyBorder="1" applyAlignment="1">
      <alignment horizontal="right" vertical="center"/>
    </xf>
    <xf numFmtId="0" fontId="18" fillId="0" borderId="22" xfId="2" applyFont="1" applyBorder="1" applyAlignment="1">
      <alignment vertical="center"/>
    </xf>
    <xf numFmtId="0" fontId="19" fillId="2" borderId="22" xfId="1" applyFont="1" applyFill="1" applyBorder="1" applyAlignment="1">
      <alignment horizontal="center" vertical="center" wrapText="1"/>
    </xf>
    <xf numFmtId="0" fontId="19" fillId="2" borderId="22" xfId="1" applyFont="1" applyFill="1" applyBorder="1" applyAlignment="1">
      <alignment horizontal="right" vertical="center" wrapText="1"/>
    </xf>
    <xf numFmtId="3" fontId="19" fillId="2" borderId="22" xfId="1" applyNumberFormat="1" applyFont="1" applyFill="1" applyBorder="1" applyAlignment="1">
      <alignment horizontal="right" vertical="center" wrapText="1"/>
    </xf>
    <xf numFmtId="0" fontId="13" fillId="0" borderId="18" xfId="1" applyFont="1" applyBorder="1" applyAlignment="1">
      <alignment horizontal="left" vertical="center" wrapText="1"/>
    </xf>
    <xf numFmtId="0" fontId="13" fillId="0" borderId="20" xfId="1" applyFont="1" applyBorder="1" applyAlignment="1">
      <alignment horizontal="left" vertical="center" wrapText="1"/>
    </xf>
    <xf numFmtId="0" fontId="13" fillId="0" borderId="17" xfId="1" applyFont="1" applyBorder="1" applyAlignment="1">
      <alignment horizontal="left" vertical="center" wrapText="1"/>
    </xf>
    <xf numFmtId="0" fontId="14" fillId="0" borderId="10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left" vertical="center" wrapText="1"/>
    </xf>
    <xf numFmtId="0" fontId="14" fillId="0" borderId="11" xfId="1" applyFont="1" applyBorder="1" applyAlignment="1">
      <alignment horizontal="center" vertical="center" wrapText="1"/>
    </xf>
    <xf numFmtId="49" fontId="15" fillId="0" borderId="14" xfId="1" applyNumberFormat="1" applyFont="1" applyBorder="1" applyAlignment="1">
      <alignment horizontal="center" vertical="center" wrapText="1"/>
    </xf>
    <xf numFmtId="0" fontId="15" fillId="0" borderId="15" xfId="1" applyFont="1" applyBorder="1" applyAlignment="1">
      <alignment horizontal="center" vertical="center" wrapText="1"/>
    </xf>
    <xf numFmtId="0" fontId="15" fillId="0" borderId="15" xfId="1" applyFont="1" applyBorder="1" applyAlignment="1">
      <alignment horizontal="left" vertical="center" wrapText="1"/>
    </xf>
    <xf numFmtId="164" fontId="15" fillId="0" borderId="15" xfId="1" applyNumberFormat="1" applyFont="1" applyBorder="1" applyAlignment="1">
      <alignment horizontal="right" vertical="center"/>
    </xf>
    <xf numFmtId="49" fontId="16" fillId="0" borderId="14" xfId="1" applyNumberFormat="1" applyFont="1" applyBorder="1" applyAlignment="1">
      <alignment horizontal="center" vertical="center" wrapText="1"/>
    </xf>
    <xf numFmtId="0" fontId="16" fillId="0" borderId="15" xfId="1" applyFont="1" applyBorder="1" applyAlignment="1">
      <alignment horizontal="center" vertical="center" wrapText="1"/>
    </xf>
    <xf numFmtId="0" fontId="16" fillId="0" borderId="15" xfId="1" applyFont="1" applyBorder="1" applyAlignment="1">
      <alignment horizontal="left" vertical="center" wrapText="1"/>
    </xf>
    <xf numFmtId="164" fontId="16" fillId="0" borderId="15" xfId="1" applyNumberFormat="1" applyFont="1" applyBorder="1" applyAlignment="1">
      <alignment horizontal="right" vertical="center"/>
    </xf>
    <xf numFmtId="49" fontId="17" fillId="0" borderId="14" xfId="1" applyNumberFormat="1" applyFont="1" applyBorder="1" applyAlignment="1">
      <alignment horizontal="center" vertical="center" wrapText="1"/>
    </xf>
    <xf numFmtId="0" fontId="17" fillId="0" borderId="15" xfId="1" applyFont="1" applyBorder="1" applyAlignment="1">
      <alignment horizontal="center" vertical="center" wrapText="1"/>
    </xf>
    <xf numFmtId="0" fontId="17" fillId="0" borderId="15" xfId="1" applyFont="1" applyBorder="1" applyAlignment="1">
      <alignment horizontal="left" vertical="center" wrapText="1"/>
    </xf>
    <xf numFmtId="164" fontId="17" fillId="0" borderId="15" xfId="1" applyNumberFormat="1" applyFont="1" applyBorder="1" applyAlignment="1">
      <alignment horizontal="right" vertical="center"/>
    </xf>
    <xf numFmtId="3" fontId="15" fillId="0" borderId="15" xfId="1" applyNumberFormat="1" applyFont="1" applyBorder="1" applyAlignment="1">
      <alignment horizontal="right" vertical="center"/>
    </xf>
    <xf numFmtId="49" fontId="17" fillId="0" borderId="16" xfId="1" applyNumberFormat="1" applyFont="1" applyBorder="1" applyAlignment="1">
      <alignment horizontal="center" vertical="center" wrapText="1"/>
    </xf>
    <xf numFmtId="0" fontId="17" fillId="0" borderId="17" xfId="1" applyFont="1" applyBorder="1" applyAlignment="1">
      <alignment horizontal="center" vertical="center" wrapText="1"/>
    </xf>
    <xf numFmtId="0" fontId="17" fillId="0" borderId="17" xfId="1" applyFont="1" applyBorder="1" applyAlignment="1">
      <alignment horizontal="left" vertical="center" wrapText="1"/>
    </xf>
    <xf numFmtId="164" fontId="17" fillId="0" borderId="17" xfId="1" applyNumberFormat="1" applyFont="1" applyBorder="1" applyAlignment="1">
      <alignment horizontal="right" vertical="center"/>
    </xf>
    <xf numFmtId="164" fontId="14" fillId="0" borderId="17" xfId="1" applyNumberFormat="1" applyFont="1" applyBorder="1" applyAlignment="1">
      <alignment horizontal="right" vertical="center" wrapText="1"/>
    </xf>
    <xf numFmtId="0" fontId="13" fillId="0" borderId="17" xfId="1" applyFont="1" applyBorder="1" applyAlignment="1">
      <alignment horizontal="left" vertical="center" wrapText="1"/>
    </xf>
    <xf numFmtId="0" fontId="13" fillId="0" borderId="17" xfId="1" applyFont="1" applyBorder="1" applyAlignment="1">
      <alignment horizontal="center" vertical="center" wrapText="1"/>
    </xf>
    <xf numFmtId="164" fontId="14" fillId="0" borderId="17" xfId="1" applyNumberFormat="1" applyFont="1" applyBorder="1" applyAlignment="1">
      <alignment horizontal="right" vertical="center" wrapText="1"/>
    </xf>
    <xf numFmtId="3" fontId="13" fillId="0" borderId="17" xfId="1" applyNumberFormat="1" applyFont="1" applyBorder="1" applyAlignment="1">
      <alignment horizontal="right" vertical="center" wrapText="1"/>
    </xf>
    <xf numFmtId="0" fontId="13" fillId="0" borderId="17" xfId="1" applyFont="1" applyBorder="1" applyAlignment="1">
      <alignment horizontal="left" vertical="center" wrapText="1"/>
    </xf>
    <xf numFmtId="0" fontId="13" fillId="0" borderId="17" xfId="1" applyFont="1" applyBorder="1" applyAlignment="1">
      <alignment horizontal="center" vertical="center" wrapText="1"/>
    </xf>
    <xf numFmtId="164" fontId="14" fillId="0" borderId="17" xfId="1" applyNumberFormat="1" applyFont="1" applyBorder="1" applyAlignment="1">
      <alignment horizontal="right" vertical="center" wrapText="1"/>
    </xf>
    <xf numFmtId="3" fontId="13" fillId="0" borderId="17" xfId="1" applyNumberFormat="1" applyFont="1" applyBorder="1" applyAlignment="1">
      <alignment horizontal="right" vertical="center" wrapText="1"/>
    </xf>
    <xf numFmtId="3" fontId="14" fillId="0" borderId="17" xfId="1" applyNumberFormat="1" applyFont="1" applyBorder="1" applyAlignment="1">
      <alignment horizontal="right" vertical="center" wrapText="1"/>
    </xf>
    <xf numFmtId="0" fontId="13" fillId="0" borderId="17" xfId="1" applyFont="1" applyBorder="1" applyAlignment="1">
      <alignment horizontal="left" vertical="center" wrapText="1"/>
    </xf>
    <xf numFmtId="0" fontId="13" fillId="0" borderId="17" xfId="1" applyFont="1" applyBorder="1" applyAlignment="1">
      <alignment horizontal="center" vertical="center" wrapText="1"/>
    </xf>
    <xf numFmtId="3" fontId="13" fillId="0" borderId="17" xfId="1" applyNumberFormat="1" applyFont="1" applyBorder="1" applyAlignment="1">
      <alignment horizontal="right" vertical="center" wrapText="1"/>
    </xf>
    <xf numFmtId="3" fontId="14" fillId="0" borderId="17" xfId="1" applyNumberFormat="1" applyFont="1" applyBorder="1" applyAlignment="1">
      <alignment horizontal="right" vertical="center" wrapText="1"/>
    </xf>
    <xf numFmtId="0" fontId="13" fillId="0" borderId="17" xfId="1" applyFont="1" applyBorder="1" applyAlignment="1">
      <alignment horizontal="left" vertical="center" wrapText="1"/>
    </xf>
    <xf numFmtId="0" fontId="13" fillId="0" borderId="17" xfId="1" applyFont="1" applyBorder="1" applyAlignment="1">
      <alignment horizontal="center" vertical="center" wrapText="1"/>
    </xf>
    <xf numFmtId="3" fontId="13" fillId="0" borderId="17" xfId="1" applyNumberFormat="1" applyFont="1" applyBorder="1" applyAlignment="1">
      <alignment horizontal="right" vertical="center" wrapText="1"/>
    </xf>
    <xf numFmtId="3" fontId="14" fillId="0" borderId="17" xfId="1" applyNumberFormat="1" applyFont="1" applyBorder="1" applyAlignment="1">
      <alignment horizontal="right" vertical="center" wrapText="1"/>
    </xf>
    <xf numFmtId="0" fontId="12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2" fillId="0" borderId="0" xfId="1" applyFont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12" fillId="4" borderId="3" xfId="3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left" vertical="center" wrapText="1"/>
    </xf>
    <xf numFmtId="0" fontId="18" fillId="2" borderId="22" xfId="1" applyFont="1" applyFill="1" applyBorder="1" applyAlignment="1">
      <alignment horizontal="center" vertical="center" wrapText="1"/>
    </xf>
    <xf numFmtId="0" fontId="19" fillId="2" borderId="22" xfId="1" applyFont="1" applyFill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top" wrapText="1"/>
    </xf>
    <xf numFmtId="0" fontId="3" fillId="0" borderId="0" xfId="1" applyFont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top"/>
    </xf>
    <xf numFmtId="3" fontId="14" fillId="0" borderId="12" xfId="1" applyNumberFormat="1" applyFont="1" applyBorder="1" applyAlignment="1">
      <alignment horizontal="center" vertical="center"/>
    </xf>
    <xf numFmtId="3" fontId="14" fillId="0" borderId="13" xfId="1" applyNumberFormat="1" applyFont="1" applyBorder="1" applyAlignment="1">
      <alignment horizontal="center" vertical="center"/>
    </xf>
    <xf numFmtId="3" fontId="14" fillId="0" borderId="18" xfId="1" applyNumberFormat="1" applyFont="1" applyBorder="1" applyAlignment="1">
      <alignment horizontal="center" vertical="center"/>
    </xf>
    <xf numFmtId="3" fontId="14" fillId="0" borderId="17" xfId="1" applyNumberFormat="1" applyFont="1" applyBorder="1" applyAlignment="1">
      <alignment horizontal="center" vertical="center"/>
    </xf>
    <xf numFmtId="164" fontId="14" fillId="0" borderId="12" xfId="1" applyNumberFormat="1" applyFont="1" applyBorder="1" applyAlignment="1">
      <alignment horizontal="center" vertical="center"/>
    </xf>
    <xf numFmtId="164" fontId="14" fillId="0" borderId="13" xfId="1" applyNumberFormat="1" applyFont="1" applyBorder="1" applyAlignment="1">
      <alignment horizontal="center" vertical="center"/>
    </xf>
    <xf numFmtId="0" fontId="14" fillId="0" borderId="20" xfId="1" applyFont="1" applyBorder="1" applyAlignment="1">
      <alignment horizontal="left" vertical="center" wrapText="1"/>
    </xf>
    <xf numFmtId="0" fontId="13" fillId="0" borderId="11" xfId="1" applyFont="1" applyBorder="1" applyAlignment="1">
      <alignment horizontal="left" vertical="center" wrapText="1"/>
    </xf>
    <xf numFmtId="0" fontId="13" fillId="0" borderId="11" xfId="1" applyFont="1" applyBorder="1" applyAlignment="1">
      <alignment horizontal="center" vertical="center" wrapText="1"/>
    </xf>
  </cellXfs>
  <cellStyles count="5">
    <cellStyle name="Обычный" xfId="0" builtinId="0"/>
    <cellStyle name="Обычный 2" xfId="1" xr:uid="{72EF5135-3242-4DF2-936C-E0EE38C7B2F6}"/>
    <cellStyle name="Обычный 2 2" xfId="3" xr:uid="{967F8A06-FA4E-4F02-8673-5830C756E6A4}"/>
    <cellStyle name="Обычный 3" xfId="2" xr:uid="{1C542F9A-A225-4E2F-BD16-480430A10C5D}"/>
    <cellStyle name="Финансовый 2" xfId="4" xr:uid="{E278911D-F859-4F66-AA06-D0C7734A8B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aoc\&#1054;&#1041;&#1052;&#1045;&#1053;\&#1052;&#1086;&#1080;%20&#1076;&#1086;&#1082;&#1091;&#1084;&#1077;&#1085;&#1090;&#1099;\&#1042;&#1086;&#1083;&#1086;&#1076;&#1103;\&#1072;&#1101;&#1088;&#1086;&#1087;&#1086;&#1088;&#1090;%20&#1082;&#1072;&#1088;&#1096;&#1080;-\&#1087;&#1077;&#1088;&#1074;&#1086;&#1085;&#1072;&#1095;\&#1040;&#1069;&#1056;&#1054;&#1055;&#1054;&#1056;&#1058;%20&#1050;&#1040;&#1056;&#1064;&#1048;%20&#1086;&#1073;&#1097;&#1077;&#107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44;&#1086;&#1082;&#1091;&#1084;&#1077;&#1085;&#1090;&#1099;%20&#1050;&#1080;&#1084;\&#1042;&#1056;&#1045;&#1052;&#1045;&#1053;&#1053;&#1040;&#1071;\&#1057;&#1058;&#1040;&#1044;&#1048;&#1054;&#1053;-&#1053;&#1072;&#1088;&#1080;&#1084;&#1072;&#1085;%2019.07.06\&#1058;&#1056;&#1048;&#1041;&#1059;&#1053;&#106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2;&#1086;&#1080;%20&#1076;&#1086;&#1082;&#1091;&#1084;&#1077;&#1085;&#1090;&#1099;/2-&#1040;&#1056;&#1061;&#1048;&#1042;&#1053;&#1067;&#1045;%20&#1057;&#1052;&#1045;&#1058;&#1067;/&#1063;&#1059;&#1041;&#1054;&#1058;/1-%20&#1081;%20&#1069;&#1058;&#1040;&#1055;/&#1040;&#1088;&#1093;.%20&#1063;&#1091;&#1073;&#1086;&#1090;/Ex22-03-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61;&#1059;&#1051;&#1054;&#1057;&#1040;%202015\&#1057;&#1052;&#1045;&#1058;&#1040;-2016\&#1040;&#1043;&#1053;&#1050;&#1057;\&#1057;&#1045;&#1058;&#1068;\201007010-&#1092;&#1072;&#1089;&#1072;&#1076;%20&#1076;&#1078;&#1091;&#1084;&#107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57;&#1059;&#1044;\&#1056;&#1040;&#1041;&#1054;&#1058;&#1040;\&#1057;&#1052;&#1045;&#1058;&#1040;-2016\&#1055;&#1054;&#1051;&#1048;&#1050;&#1051;&#1048;&#1053;&#1048;&#1050;&#1040;%20&#1055;&#1057;&#1048;&#1061;%20&#1044;&#1048;&#1057;&#1055;&#1040;&#1053;&#1057;&#1045;&#1056;&#1040;\&#1053;&#1086;&#1074;&#1072;&#1103;%20&#1087;&#1072;&#1087;&#1082;&#1072;\&#1057;&#1042;&#1054;&#1044;%20&#1055;&#1054;%20&#1055;&#1054;&#1051;&#1048;&#1050;&#1051;&#1048;&#1053;&#1048;&#1050;&#1045;%20(&#1069;&#1056;&#1050;&#1048;&#105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69;&#1088;&#1082;&#1080;&#1085;&#1096;&#1086;&#1076;&#1080;&#1077;&#1074;&#1080;&#1095;\&#1089;%20&#1074;&#1080;&#1085;&#1090;&#1072;%20&#1096;&#1086;&#1076;&#1080;&#1077;&#1074;&#1080;&#1095;&#1072;\1&#1044;&#1054;&#1050;&#1059;&#1052;&#1045;&#1053;&#1058;&#1067;%20&#1047;&#1040;%202015%20&#1043;\&#1041;&#1059;&#1051;&#1059;&#1053;&#1043;&#1059;&#1056;%20&#1047;&#1040;&#1043;&#1057;\&#1057;&#1042;&#1054;&#1044;%20&#1055;&#1054;%20&#1041;&#1059;&#1051;&#1059;&#1053;&#1043;&#1059;&#1056;&#1057;&#1050;&#1054;&#1052;&#1059;%20&#1047;&#1040;&#1043;&#1057;&#1059;-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арт"/>
      <sheetName val="Ведомость ресурсов"/>
      <sheetName val="Ведомость работ"/>
      <sheetName val="Лист1"/>
      <sheetName val="БЮДЖЕТ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д. рес-в"/>
      <sheetName val="Вед. р-т"/>
      <sheetName val="Старт"/>
      <sheetName val="ЦЕНЫ"/>
      <sheetName val="ДЕФ. АКТ"/>
      <sheetName val="Л-р в-сть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с. вед."/>
      <sheetName val="Вед. рес."/>
      <sheetName val="стар"/>
      <sheetName val="Лок-рес. вед-ть"/>
      <sheetName val="Вед.  работ"/>
      <sheetName val="Вед-ть работ"/>
      <sheetName val="ДЕФ. АКТ"/>
      <sheetName val="сог.Цен"/>
      <sheetName val="Един."/>
    </sheetNames>
    <sheetDataSet>
      <sheetData sheetId="0"/>
      <sheetData sheetId="1">
        <row r="1">
          <cell r="A1" t="str">
            <v>НАИМЕНОВАНИЕ СТРОЙКИ: КАП РЕМОНТ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007010_РС"/>
      <sheetName val="201007010_БР"/>
      <sheetName val="201007010_БВ"/>
      <sheetName val="bx_abc4"/>
      <sheetName val="СТАРТ (2)"/>
      <sheetName val="ДЕФ АКТ"/>
      <sheetName val="Вед. рес."/>
    </sheetNames>
    <sheetDataSet>
      <sheetData sheetId="0" refreshError="1"/>
      <sheetData sheetId="1" refreshError="1"/>
      <sheetData sheetId="2" refreshError="1"/>
      <sheetData sheetId="3">
        <row r="171">
          <cell r="E171">
            <v>5.2</v>
          </cell>
        </row>
      </sheetData>
      <sheetData sheetId="4" refreshError="1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916341_БР"/>
      <sheetName val="15916341_А0"/>
      <sheetName val="15916341_БВ"/>
      <sheetName val="СТАРТ -ВСЕХ ЭТАПОВ ИЗМ"/>
      <sheetName val="990651_А0"/>
    </sheetNames>
    <sheetDataSet>
      <sheetData sheetId="0"/>
      <sheetData sheetId="1">
        <row r="2097">
          <cell r="E2097">
            <v>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03431_А0"/>
      <sheetName val="903431_БР"/>
      <sheetName val="903431_БВ"/>
      <sheetName val="СТАРТ -ВСЕХ ЭТАПОВ ИЗМ"/>
      <sheetName val="925021_А0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22A0-14EB-41E8-A22D-C796E7B89EC3}">
  <dimension ref="A1:H53"/>
  <sheetViews>
    <sheetView showGridLines="0" view="pageBreakPreview" zoomScaleNormal="100" zoomScaleSheetLayoutView="100" workbookViewId="0">
      <selection activeCell="B14" sqref="B14:C14"/>
    </sheetView>
  </sheetViews>
  <sheetFormatPr defaultRowHeight="13.15"/>
  <cols>
    <col min="1" max="1" width="4.59765625" style="16" customWidth="1"/>
    <col min="2" max="2" width="10.1328125" style="16" hidden="1" customWidth="1"/>
    <col min="3" max="3" width="83.53125" style="16" customWidth="1"/>
    <col min="4" max="4" width="10.1328125" style="16" customWidth="1"/>
    <col min="5" max="5" width="10.86328125" style="16" bestFit="1" customWidth="1"/>
    <col min="6" max="6" width="10.1328125" style="16" customWidth="1"/>
    <col min="7" max="7" width="12.265625" style="17" bestFit="1" customWidth="1"/>
    <col min="8" max="8" width="9.1328125" style="16" customWidth="1"/>
    <col min="9" max="9" width="9.1328125" style="12" customWidth="1"/>
    <col min="10" max="251" width="9.1328125" style="12"/>
    <col min="252" max="252" width="4.59765625" style="12" customWidth="1"/>
    <col min="253" max="253" width="13.59765625" style="12" customWidth="1"/>
    <col min="254" max="254" width="52.1328125" style="12" customWidth="1"/>
    <col min="255" max="260" width="10.1328125" style="12" customWidth="1"/>
    <col min="261" max="507" width="9.1328125" style="12"/>
    <col min="508" max="508" width="4.59765625" style="12" customWidth="1"/>
    <col min="509" max="509" width="13.59765625" style="12" customWidth="1"/>
    <col min="510" max="510" width="52.1328125" style="12" customWidth="1"/>
    <col min="511" max="516" width="10.1328125" style="12" customWidth="1"/>
    <col min="517" max="763" width="9.1328125" style="12"/>
    <col min="764" max="764" width="4.59765625" style="12" customWidth="1"/>
    <col min="765" max="765" width="13.59765625" style="12" customWidth="1"/>
    <col min="766" max="766" width="52.1328125" style="12" customWidth="1"/>
    <col min="767" max="772" width="10.1328125" style="12" customWidth="1"/>
    <col min="773" max="1019" width="9.1328125" style="12"/>
    <col min="1020" max="1020" width="4.59765625" style="12" customWidth="1"/>
    <col min="1021" max="1021" width="13.59765625" style="12" customWidth="1"/>
    <col min="1022" max="1022" width="52.1328125" style="12" customWidth="1"/>
    <col min="1023" max="1028" width="10.1328125" style="12" customWidth="1"/>
    <col min="1029" max="1275" width="9.1328125" style="12"/>
    <col min="1276" max="1276" width="4.59765625" style="12" customWidth="1"/>
    <col min="1277" max="1277" width="13.59765625" style="12" customWidth="1"/>
    <col min="1278" max="1278" width="52.1328125" style="12" customWidth="1"/>
    <col min="1279" max="1284" width="10.1328125" style="12" customWidth="1"/>
    <col min="1285" max="1531" width="9.1328125" style="12"/>
    <col min="1532" max="1532" width="4.59765625" style="12" customWidth="1"/>
    <col min="1533" max="1533" width="13.59765625" style="12" customWidth="1"/>
    <col min="1534" max="1534" width="52.1328125" style="12" customWidth="1"/>
    <col min="1535" max="1540" width="10.1328125" style="12" customWidth="1"/>
    <col min="1541" max="1787" width="9.1328125" style="12"/>
    <col min="1788" max="1788" width="4.59765625" style="12" customWidth="1"/>
    <col min="1789" max="1789" width="13.59765625" style="12" customWidth="1"/>
    <col min="1790" max="1790" width="52.1328125" style="12" customWidth="1"/>
    <col min="1791" max="1796" width="10.1328125" style="12" customWidth="1"/>
    <col min="1797" max="2043" width="9.1328125" style="12"/>
    <col min="2044" max="2044" width="4.59765625" style="12" customWidth="1"/>
    <col min="2045" max="2045" width="13.59765625" style="12" customWidth="1"/>
    <col min="2046" max="2046" width="52.1328125" style="12" customWidth="1"/>
    <col min="2047" max="2052" width="10.1328125" style="12" customWidth="1"/>
    <col min="2053" max="2299" width="9.1328125" style="12"/>
    <col min="2300" max="2300" width="4.59765625" style="12" customWidth="1"/>
    <col min="2301" max="2301" width="13.59765625" style="12" customWidth="1"/>
    <col min="2302" max="2302" width="52.1328125" style="12" customWidth="1"/>
    <col min="2303" max="2308" width="10.1328125" style="12" customWidth="1"/>
    <col min="2309" max="2555" width="9.1328125" style="12"/>
    <col min="2556" max="2556" width="4.59765625" style="12" customWidth="1"/>
    <col min="2557" max="2557" width="13.59765625" style="12" customWidth="1"/>
    <col min="2558" max="2558" width="52.1328125" style="12" customWidth="1"/>
    <col min="2559" max="2564" width="10.1328125" style="12" customWidth="1"/>
    <col min="2565" max="2811" width="9.1328125" style="12"/>
    <col min="2812" max="2812" width="4.59765625" style="12" customWidth="1"/>
    <col min="2813" max="2813" width="13.59765625" style="12" customWidth="1"/>
    <col min="2814" max="2814" width="52.1328125" style="12" customWidth="1"/>
    <col min="2815" max="2820" width="10.1328125" style="12" customWidth="1"/>
    <col min="2821" max="3067" width="9.1328125" style="12"/>
    <col min="3068" max="3068" width="4.59765625" style="12" customWidth="1"/>
    <col min="3069" max="3069" width="13.59765625" style="12" customWidth="1"/>
    <col min="3070" max="3070" width="52.1328125" style="12" customWidth="1"/>
    <col min="3071" max="3076" width="10.1328125" style="12" customWidth="1"/>
    <col min="3077" max="3323" width="9.1328125" style="12"/>
    <col min="3324" max="3324" width="4.59765625" style="12" customWidth="1"/>
    <col min="3325" max="3325" width="13.59765625" style="12" customWidth="1"/>
    <col min="3326" max="3326" width="52.1328125" style="12" customWidth="1"/>
    <col min="3327" max="3332" width="10.1328125" style="12" customWidth="1"/>
    <col min="3333" max="3579" width="9.1328125" style="12"/>
    <col min="3580" max="3580" width="4.59765625" style="12" customWidth="1"/>
    <col min="3581" max="3581" width="13.59765625" style="12" customWidth="1"/>
    <col min="3582" max="3582" width="52.1328125" style="12" customWidth="1"/>
    <col min="3583" max="3588" width="10.1328125" style="12" customWidth="1"/>
    <col min="3589" max="3835" width="9.1328125" style="12"/>
    <col min="3836" max="3836" width="4.59765625" style="12" customWidth="1"/>
    <col min="3837" max="3837" width="13.59765625" style="12" customWidth="1"/>
    <col min="3838" max="3838" width="52.1328125" style="12" customWidth="1"/>
    <col min="3839" max="3844" width="10.1328125" style="12" customWidth="1"/>
    <col min="3845" max="4091" width="9.1328125" style="12"/>
    <col min="4092" max="4092" width="4.59765625" style="12" customWidth="1"/>
    <col min="4093" max="4093" width="13.59765625" style="12" customWidth="1"/>
    <col min="4094" max="4094" width="52.1328125" style="12" customWidth="1"/>
    <col min="4095" max="4100" width="10.1328125" style="12" customWidth="1"/>
    <col min="4101" max="4347" width="9.1328125" style="12"/>
    <col min="4348" max="4348" width="4.59765625" style="12" customWidth="1"/>
    <col min="4349" max="4349" width="13.59765625" style="12" customWidth="1"/>
    <col min="4350" max="4350" width="52.1328125" style="12" customWidth="1"/>
    <col min="4351" max="4356" width="10.1328125" style="12" customWidth="1"/>
    <col min="4357" max="4603" width="9.1328125" style="12"/>
    <col min="4604" max="4604" width="4.59765625" style="12" customWidth="1"/>
    <col min="4605" max="4605" width="13.59765625" style="12" customWidth="1"/>
    <col min="4606" max="4606" width="52.1328125" style="12" customWidth="1"/>
    <col min="4607" max="4612" width="10.1328125" style="12" customWidth="1"/>
    <col min="4613" max="4859" width="9.1328125" style="12"/>
    <col min="4860" max="4860" width="4.59765625" style="12" customWidth="1"/>
    <col min="4861" max="4861" width="13.59765625" style="12" customWidth="1"/>
    <col min="4862" max="4862" width="52.1328125" style="12" customWidth="1"/>
    <col min="4863" max="4868" width="10.1328125" style="12" customWidth="1"/>
    <col min="4869" max="5115" width="9.1328125" style="12"/>
    <col min="5116" max="5116" width="4.59765625" style="12" customWidth="1"/>
    <col min="5117" max="5117" width="13.59765625" style="12" customWidth="1"/>
    <col min="5118" max="5118" width="52.1328125" style="12" customWidth="1"/>
    <col min="5119" max="5124" width="10.1328125" style="12" customWidth="1"/>
    <col min="5125" max="5371" width="9.1328125" style="12"/>
    <col min="5372" max="5372" width="4.59765625" style="12" customWidth="1"/>
    <col min="5373" max="5373" width="13.59765625" style="12" customWidth="1"/>
    <col min="5374" max="5374" width="52.1328125" style="12" customWidth="1"/>
    <col min="5375" max="5380" width="10.1328125" style="12" customWidth="1"/>
    <col min="5381" max="5627" width="9.1328125" style="12"/>
    <col min="5628" max="5628" width="4.59765625" style="12" customWidth="1"/>
    <col min="5629" max="5629" width="13.59765625" style="12" customWidth="1"/>
    <col min="5630" max="5630" width="52.1328125" style="12" customWidth="1"/>
    <col min="5631" max="5636" width="10.1328125" style="12" customWidth="1"/>
    <col min="5637" max="5883" width="9.1328125" style="12"/>
    <col min="5884" max="5884" width="4.59765625" style="12" customWidth="1"/>
    <col min="5885" max="5885" width="13.59765625" style="12" customWidth="1"/>
    <col min="5886" max="5886" width="52.1328125" style="12" customWidth="1"/>
    <col min="5887" max="5892" width="10.1328125" style="12" customWidth="1"/>
    <col min="5893" max="6139" width="9.1328125" style="12"/>
    <col min="6140" max="6140" width="4.59765625" style="12" customWidth="1"/>
    <col min="6141" max="6141" width="13.59765625" style="12" customWidth="1"/>
    <col min="6142" max="6142" width="52.1328125" style="12" customWidth="1"/>
    <col min="6143" max="6148" width="10.1328125" style="12" customWidth="1"/>
    <col min="6149" max="6395" width="9.1328125" style="12"/>
    <col min="6396" max="6396" width="4.59765625" style="12" customWidth="1"/>
    <col min="6397" max="6397" width="13.59765625" style="12" customWidth="1"/>
    <col min="6398" max="6398" width="52.1328125" style="12" customWidth="1"/>
    <col min="6399" max="6404" width="10.1328125" style="12" customWidth="1"/>
    <col min="6405" max="6651" width="9.1328125" style="12"/>
    <col min="6652" max="6652" width="4.59765625" style="12" customWidth="1"/>
    <col min="6653" max="6653" width="13.59765625" style="12" customWidth="1"/>
    <col min="6654" max="6654" width="52.1328125" style="12" customWidth="1"/>
    <col min="6655" max="6660" width="10.1328125" style="12" customWidth="1"/>
    <col min="6661" max="6907" width="9.1328125" style="12"/>
    <col min="6908" max="6908" width="4.59765625" style="12" customWidth="1"/>
    <col min="6909" max="6909" width="13.59765625" style="12" customWidth="1"/>
    <col min="6910" max="6910" width="52.1328125" style="12" customWidth="1"/>
    <col min="6911" max="6916" width="10.1328125" style="12" customWidth="1"/>
    <col min="6917" max="7163" width="9.1328125" style="12"/>
    <col min="7164" max="7164" width="4.59765625" style="12" customWidth="1"/>
    <col min="7165" max="7165" width="13.59765625" style="12" customWidth="1"/>
    <col min="7166" max="7166" width="52.1328125" style="12" customWidth="1"/>
    <col min="7167" max="7172" width="10.1328125" style="12" customWidth="1"/>
    <col min="7173" max="7419" width="9.1328125" style="12"/>
    <col min="7420" max="7420" width="4.59765625" style="12" customWidth="1"/>
    <col min="7421" max="7421" width="13.59765625" style="12" customWidth="1"/>
    <col min="7422" max="7422" width="52.1328125" style="12" customWidth="1"/>
    <col min="7423" max="7428" width="10.1328125" style="12" customWidth="1"/>
    <col min="7429" max="7675" width="9.1328125" style="12"/>
    <col min="7676" max="7676" width="4.59765625" style="12" customWidth="1"/>
    <col min="7677" max="7677" width="13.59765625" style="12" customWidth="1"/>
    <col min="7678" max="7678" width="52.1328125" style="12" customWidth="1"/>
    <col min="7679" max="7684" width="10.1328125" style="12" customWidth="1"/>
    <col min="7685" max="7931" width="9.1328125" style="12"/>
    <col min="7932" max="7932" width="4.59765625" style="12" customWidth="1"/>
    <col min="7933" max="7933" width="13.59765625" style="12" customWidth="1"/>
    <col min="7934" max="7934" width="52.1328125" style="12" customWidth="1"/>
    <col min="7935" max="7940" width="10.1328125" style="12" customWidth="1"/>
    <col min="7941" max="8187" width="9.1328125" style="12"/>
    <col min="8188" max="8188" width="4.59765625" style="12" customWidth="1"/>
    <col min="8189" max="8189" width="13.59765625" style="12" customWidth="1"/>
    <col min="8190" max="8190" width="52.1328125" style="12" customWidth="1"/>
    <col min="8191" max="8196" width="10.1328125" style="12" customWidth="1"/>
    <col min="8197" max="8443" width="9.1328125" style="12"/>
    <col min="8444" max="8444" width="4.59765625" style="12" customWidth="1"/>
    <col min="8445" max="8445" width="13.59765625" style="12" customWidth="1"/>
    <col min="8446" max="8446" width="52.1328125" style="12" customWidth="1"/>
    <col min="8447" max="8452" width="10.1328125" style="12" customWidth="1"/>
    <col min="8453" max="8699" width="9.1328125" style="12"/>
    <col min="8700" max="8700" width="4.59765625" style="12" customWidth="1"/>
    <col min="8701" max="8701" width="13.59765625" style="12" customWidth="1"/>
    <col min="8702" max="8702" width="52.1328125" style="12" customWidth="1"/>
    <col min="8703" max="8708" width="10.1328125" style="12" customWidth="1"/>
    <col min="8709" max="8955" width="9.1328125" style="12"/>
    <col min="8956" max="8956" width="4.59765625" style="12" customWidth="1"/>
    <col min="8957" max="8957" width="13.59765625" style="12" customWidth="1"/>
    <col min="8958" max="8958" width="52.1328125" style="12" customWidth="1"/>
    <col min="8959" max="8964" width="10.1328125" style="12" customWidth="1"/>
    <col min="8965" max="9211" width="9.1328125" style="12"/>
    <col min="9212" max="9212" width="4.59765625" style="12" customWidth="1"/>
    <col min="9213" max="9213" width="13.59765625" style="12" customWidth="1"/>
    <col min="9214" max="9214" width="52.1328125" style="12" customWidth="1"/>
    <col min="9215" max="9220" width="10.1328125" style="12" customWidth="1"/>
    <col min="9221" max="9467" width="9.1328125" style="12"/>
    <col min="9468" max="9468" width="4.59765625" style="12" customWidth="1"/>
    <col min="9469" max="9469" width="13.59765625" style="12" customWidth="1"/>
    <col min="9470" max="9470" width="52.1328125" style="12" customWidth="1"/>
    <col min="9471" max="9476" width="10.1328125" style="12" customWidth="1"/>
    <col min="9477" max="9723" width="9.1328125" style="12"/>
    <col min="9724" max="9724" width="4.59765625" style="12" customWidth="1"/>
    <col min="9725" max="9725" width="13.59765625" style="12" customWidth="1"/>
    <col min="9726" max="9726" width="52.1328125" style="12" customWidth="1"/>
    <col min="9727" max="9732" width="10.1328125" style="12" customWidth="1"/>
    <col min="9733" max="9979" width="9.1328125" style="12"/>
    <col min="9980" max="9980" width="4.59765625" style="12" customWidth="1"/>
    <col min="9981" max="9981" width="13.59765625" style="12" customWidth="1"/>
    <col min="9982" max="9982" width="52.1328125" style="12" customWidth="1"/>
    <col min="9983" max="9988" width="10.1328125" style="12" customWidth="1"/>
    <col min="9989" max="10235" width="9.1328125" style="12"/>
    <col min="10236" max="10236" width="4.59765625" style="12" customWidth="1"/>
    <col min="10237" max="10237" width="13.59765625" style="12" customWidth="1"/>
    <col min="10238" max="10238" width="52.1328125" style="12" customWidth="1"/>
    <col min="10239" max="10244" width="10.1328125" style="12" customWidth="1"/>
    <col min="10245" max="10491" width="9.1328125" style="12"/>
    <col min="10492" max="10492" width="4.59765625" style="12" customWidth="1"/>
    <col min="10493" max="10493" width="13.59765625" style="12" customWidth="1"/>
    <col min="10494" max="10494" width="52.1328125" style="12" customWidth="1"/>
    <col min="10495" max="10500" width="10.1328125" style="12" customWidth="1"/>
    <col min="10501" max="10747" width="9.1328125" style="12"/>
    <col min="10748" max="10748" width="4.59765625" style="12" customWidth="1"/>
    <col min="10749" max="10749" width="13.59765625" style="12" customWidth="1"/>
    <col min="10750" max="10750" width="52.1328125" style="12" customWidth="1"/>
    <col min="10751" max="10756" width="10.1328125" style="12" customWidth="1"/>
    <col min="10757" max="11003" width="9.1328125" style="12"/>
    <col min="11004" max="11004" width="4.59765625" style="12" customWidth="1"/>
    <col min="11005" max="11005" width="13.59765625" style="12" customWidth="1"/>
    <col min="11006" max="11006" width="52.1328125" style="12" customWidth="1"/>
    <col min="11007" max="11012" width="10.1328125" style="12" customWidth="1"/>
    <col min="11013" max="11259" width="9.1328125" style="12"/>
    <col min="11260" max="11260" width="4.59765625" style="12" customWidth="1"/>
    <col min="11261" max="11261" width="13.59765625" style="12" customWidth="1"/>
    <col min="11262" max="11262" width="52.1328125" style="12" customWidth="1"/>
    <col min="11263" max="11268" width="10.1328125" style="12" customWidth="1"/>
    <col min="11269" max="11515" width="9.1328125" style="12"/>
    <col min="11516" max="11516" width="4.59765625" style="12" customWidth="1"/>
    <col min="11517" max="11517" width="13.59765625" style="12" customWidth="1"/>
    <col min="11518" max="11518" width="52.1328125" style="12" customWidth="1"/>
    <col min="11519" max="11524" width="10.1328125" style="12" customWidth="1"/>
    <col min="11525" max="11771" width="9.1328125" style="12"/>
    <col min="11772" max="11772" width="4.59765625" style="12" customWidth="1"/>
    <col min="11773" max="11773" width="13.59765625" style="12" customWidth="1"/>
    <col min="11774" max="11774" width="52.1328125" style="12" customWidth="1"/>
    <col min="11775" max="11780" width="10.1328125" style="12" customWidth="1"/>
    <col min="11781" max="12027" width="9.1328125" style="12"/>
    <col min="12028" max="12028" width="4.59765625" style="12" customWidth="1"/>
    <col min="12029" max="12029" width="13.59765625" style="12" customWidth="1"/>
    <col min="12030" max="12030" width="52.1328125" style="12" customWidth="1"/>
    <col min="12031" max="12036" width="10.1328125" style="12" customWidth="1"/>
    <col min="12037" max="12283" width="9.1328125" style="12"/>
    <col min="12284" max="12284" width="4.59765625" style="12" customWidth="1"/>
    <col min="12285" max="12285" width="13.59765625" style="12" customWidth="1"/>
    <col min="12286" max="12286" width="52.1328125" style="12" customWidth="1"/>
    <col min="12287" max="12292" width="10.1328125" style="12" customWidth="1"/>
    <col min="12293" max="12539" width="9.1328125" style="12"/>
    <col min="12540" max="12540" width="4.59765625" style="12" customWidth="1"/>
    <col min="12541" max="12541" width="13.59765625" style="12" customWidth="1"/>
    <col min="12542" max="12542" width="52.1328125" style="12" customWidth="1"/>
    <col min="12543" max="12548" width="10.1328125" style="12" customWidth="1"/>
    <col min="12549" max="12795" width="9.1328125" style="12"/>
    <col min="12796" max="12796" width="4.59765625" style="12" customWidth="1"/>
    <col min="12797" max="12797" width="13.59765625" style="12" customWidth="1"/>
    <col min="12798" max="12798" width="52.1328125" style="12" customWidth="1"/>
    <col min="12799" max="12804" width="10.1328125" style="12" customWidth="1"/>
    <col min="12805" max="13051" width="9.1328125" style="12"/>
    <col min="13052" max="13052" width="4.59765625" style="12" customWidth="1"/>
    <col min="13053" max="13053" width="13.59765625" style="12" customWidth="1"/>
    <col min="13054" max="13054" width="52.1328125" style="12" customWidth="1"/>
    <col min="13055" max="13060" width="10.1328125" style="12" customWidth="1"/>
    <col min="13061" max="13307" width="9.1328125" style="12"/>
    <col min="13308" max="13308" width="4.59765625" style="12" customWidth="1"/>
    <col min="13309" max="13309" width="13.59765625" style="12" customWidth="1"/>
    <col min="13310" max="13310" width="52.1328125" style="12" customWidth="1"/>
    <col min="13311" max="13316" width="10.1328125" style="12" customWidth="1"/>
    <col min="13317" max="13563" width="9.1328125" style="12"/>
    <col min="13564" max="13564" width="4.59765625" style="12" customWidth="1"/>
    <col min="13565" max="13565" width="13.59765625" style="12" customWidth="1"/>
    <col min="13566" max="13566" width="52.1328125" style="12" customWidth="1"/>
    <col min="13567" max="13572" width="10.1328125" style="12" customWidth="1"/>
    <col min="13573" max="13819" width="9.1328125" style="12"/>
    <col min="13820" max="13820" width="4.59765625" style="12" customWidth="1"/>
    <col min="13821" max="13821" width="13.59765625" style="12" customWidth="1"/>
    <col min="13822" max="13822" width="52.1328125" style="12" customWidth="1"/>
    <col min="13823" max="13828" width="10.1328125" style="12" customWidth="1"/>
    <col min="13829" max="14075" width="9.1328125" style="12"/>
    <col min="14076" max="14076" width="4.59765625" style="12" customWidth="1"/>
    <col min="14077" max="14077" width="13.59765625" style="12" customWidth="1"/>
    <col min="14078" max="14078" width="52.1328125" style="12" customWidth="1"/>
    <col min="14079" max="14084" width="10.1328125" style="12" customWidth="1"/>
    <col min="14085" max="14331" width="9.1328125" style="12"/>
    <col min="14332" max="14332" width="4.59765625" style="12" customWidth="1"/>
    <col min="14333" max="14333" width="13.59765625" style="12" customWidth="1"/>
    <col min="14334" max="14334" width="52.1328125" style="12" customWidth="1"/>
    <col min="14335" max="14340" width="10.1328125" style="12" customWidth="1"/>
    <col min="14341" max="14587" width="9.1328125" style="12"/>
    <col min="14588" max="14588" width="4.59765625" style="12" customWidth="1"/>
    <col min="14589" max="14589" width="13.59765625" style="12" customWidth="1"/>
    <col min="14590" max="14590" width="52.1328125" style="12" customWidth="1"/>
    <col min="14591" max="14596" width="10.1328125" style="12" customWidth="1"/>
    <col min="14597" max="14843" width="9.1328125" style="12"/>
    <col min="14844" max="14844" width="4.59765625" style="12" customWidth="1"/>
    <col min="14845" max="14845" width="13.59765625" style="12" customWidth="1"/>
    <col min="14846" max="14846" width="52.1328125" style="12" customWidth="1"/>
    <col min="14847" max="14852" width="10.1328125" style="12" customWidth="1"/>
    <col min="14853" max="15099" width="9.1328125" style="12"/>
    <col min="15100" max="15100" width="4.59765625" style="12" customWidth="1"/>
    <col min="15101" max="15101" width="13.59765625" style="12" customWidth="1"/>
    <col min="15102" max="15102" width="52.1328125" style="12" customWidth="1"/>
    <col min="15103" max="15108" width="10.1328125" style="12" customWidth="1"/>
    <col min="15109" max="15355" width="9.1328125" style="12"/>
    <col min="15356" max="15356" width="4.59765625" style="12" customWidth="1"/>
    <col min="15357" max="15357" width="13.59765625" style="12" customWidth="1"/>
    <col min="15358" max="15358" width="52.1328125" style="12" customWidth="1"/>
    <col min="15359" max="15364" width="10.1328125" style="12" customWidth="1"/>
    <col min="15365" max="15611" width="9.1328125" style="12"/>
    <col min="15612" max="15612" width="4.59765625" style="12" customWidth="1"/>
    <col min="15613" max="15613" width="13.59765625" style="12" customWidth="1"/>
    <col min="15614" max="15614" width="52.1328125" style="12" customWidth="1"/>
    <col min="15615" max="15620" width="10.1328125" style="12" customWidth="1"/>
    <col min="15621" max="15867" width="9.1328125" style="12"/>
    <col min="15868" max="15868" width="4.59765625" style="12" customWidth="1"/>
    <col min="15869" max="15869" width="13.59765625" style="12" customWidth="1"/>
    <col min="15870" max="15870" width="52.1328125" style="12" customWidth="1"/>
    <col min="15871" max="15876" width="10.1328125" style="12" customWidth="1"/>
    <col min="15877" max="16123" width="9.1328125" style="12"/>
    <col min="16124" max="16124" width="4.59765625" style="12" customWidth="1"/>
    <col min="16125" max="16125" width="13.59765625" style="12" customWidth="1"/>
    <col min="16126" max="16126" width="52.1328125" style="12" customWidth="1"/>
    <col min="16127" max="16132" width="10.1328125" style="12" customWidth="1"/>
    <col min="16133" max="16383" width="9.1328125" style="12"/>
    <col min="16384" max="16384" width="9.1328125" style="12" customWidth="1"/>
  </cols>
  <sheetData>
    <row r="1" spans="1:8" s="1" customFormat="1">
      <c r="A1" s="16"/>
      <c r="B1" s="16"/>
      <c r="C1" s="16"/>
      <c r="D1" s="16"/>
      <c r="E1" s="16"/>
      <c r="F1" s="16"/>
      <c r="G1" s="17"/>
      <c r="H1" s="16"/>
    </row>
    <row r="2" spans="1:8" s="27" customFormat="1" ht="36" customHeight="1">
      <c r="A2" s="16"/>
      <c r="B2" s="112" t="s">
        <v>125</v>
      </c>
      <c r="C2" s="112"/>
      <c r="D2" s="112"/>
      <c r="E2" s="112"/>
      <c r="F2" s="112"/>
      <c r="G2" s="112"/>
      <c r="H2" s="16"/>
    </row>
    <row r="3" spans="1:8" s="1" customFormat="1">
      <c r="A3" s="18"/>
      <c r="B3" s="113" t="s">
        <v>0</v>
      </c>
      <c r="C3" s="113"/>
      <c r="D3" s="113"/>
      <c r="E3" s="113"/>
      <c r="F3" s="113"/>
      <c r="G3" s="113"/>
      <c r="H3" s="16"/>
    </row>
    <row r="4" spans="1:8" s="1" customFormat="1">
      <c r="A4" s="16"/>
      <c r="B4" s="16"/>
      <c r="C4" s="19"/>
      <c r="D4" s="19"/>
      <c r="E4" s="19"/>
      <c r="F4" s="19"/>
      <c r="G4" s="20"/>
      <c r="H4" s="16"/>
    </row>
    <row r="5" spans="1:8" s="1" customFormat="1" ht="15">
      <c r="A5" s="7"/>
      <c r="B5" s="7"/>
      <c r="C5" s="116" t="s">
        <v>31</v>
      </c>
      <c r="D5" s="116"/>
      <c r="E5" s="116"/>
      <c r="F5" s="116"/>
      <c r="G5" s="21"/>
      <c r="H5" s="16"/>
    </row>
    <row r="6" spans="1:8" s="1" customFormat="1">
      <c r="A6" s="18"/>
      <c r="B6" s="114"/>
      <c r="C6" s="114"/>
      <c r="D6" s="114"/>
      <c r="E6" s="114"/>
      <c r="F6" s="114"/>
      <c r="G6" s="114"/>
      <c r="H6" s="16"/>
    </row>
    <row r="7" spans="1:8" s="27" customFormat="1" ht="15.4">
      <c r="A7" s="22"/>
      <c r="B7" s="22"/>
      <c r="C7" s="117" t="s">
        <v>126</v>
      </c>
      <c r="D7" s="117"/>
      <c r="E7" s="117"/>
      <c r="F7" s="22"/>
      <c r="G7" s="22"/>
      <c r="H7" s="16"/>
    </row>
    <row r="8" spans="1:8" s="28" customFormat="1" ht="22.5" customHeight="1">
      <c r="A8" s="119" t="s">
        <v>3</v>
      </c>
      <c r="B8" s="119" t="s">
        <v>4</v>
      </c>
      <c r="C8" s="119" t="s">
        <v>5</v>
      </c>
      <c r="D8" s="119" t="s">
        <v>6</v>
      </c>
      <c r="E8" s="119" t="s">
        <v>7</v>
      </c>
      <c r="F8" s="118" t="s">
        <v>32</v>
      </c>
      <c r="G8" s="118"/>
    </row>
    <row r="9" spans="1:8" s="28" customFormat="1" ht="20.25" customHeight="1">
      <c r="A9" s="119"/>
      <c r="B9" s="119"/>
      <c r="C9" s="119"/>
      <c r="D9" s="119"/>
      <c r="E9" s="119"/>
      <c r="F9" s="119" t="s">
        <v>34</v>
      </c>
      <c r="G9" s="119"/>
    </row>
    <row r="10" spans="1:8" s="28" customFormat="1" ht="19.5" customHeight="1">
      <c r="A10" s="119"/>
      <c r="B10" s="119"/>
      <c r="C10" s="119"/>
      <c r="D10" s="119"/>
      <c r="E10" s="119"/>
      <c r="F10" s="26" t="s">
        <v>35</v>
      </c>
      <c r="G10" s="23" t="s">
        <v>36</v>
      </c>
    </row>
    <row r="11" spans="1:8" s="29" customFormat="1">
      <c r="A11" s="24">
        <v>1</v>
      </c>
      <c r="B11" s="24">
        <v>2</v>
      </c>
      <c r="C11" s="24">
        <v>2</v>
      </c>
      <c r="D11" s="24">
        <v>3</v>
      </c>
      <c r="E11" s="24">
        <v>4</v>
      </c>
      <c r="F11" s="24">
        <v>5</v>
      </c>
      <c r="G11" s="25">
        <v>6</v>
      </c>
      <c r="H11" s="28"/>
    </row>
    <row r="12" spans="1:8" s="27" customFormat="1">
      <c r="A12" s="30"/>
      <c r="B12" s="31"/>
      <c r="C12" s="32" t="s">
        <v>28</v>
      </c>
      <c r="D12" s="30"/>
      <c r="E12" s="33"/>
      <c r="F12" s="33"/>
      <c r="G12" s="34"/>
      <c r="H12" s="16"/>
    </row>
    <row r="13" spans="1:8" s="27" customFormat="1">
      <c r="A13" s="35" t="s">
        <v>10</v>
      </c>
      <c r="B13" s="36"/>
      <c r="C13" s="36" t="s">
        <v>11</v>
      </c>
      <c r="D13" s="35" t="s">
        <v>12</v>
      </c>
      <c r="E13" s="94">
        <v>1190.4000000000001</v>
      </c>
      <c r="F13" s="46">
        <v>25581.74</v>
      </c>
      <c r="G13" s="37">
        <f>E13*F13</f>
        <v>30452503.296000004</v>
      </c>
      <c r="H13" s="16"/>
    </row>
    <row r="14" spans="1:8" s="27" customFormat="1">
      <c r="A14" s="38"/>
      <c r="B14" s="120" t="s">
        <v>37</v>
      </c>
      <c r="C14" s="120"/>
      <c r="D14" s="38" t="s">
        <v>33</v>
      </c>
      <c r="E14" s="39"/>
      <c r="F14" s="39"/>
      <c r="G14" s="40">
        <f>SUM(G13)</f>
        <v>30452503.296000004</v>
      </c>
      <c r="H14" s="16"/>
    </row>
    <row r="15" spans="1:8" s="27" customFormat="1">
      <c r="A15" s="35"/>
      <c r="B15" s="36"/>
      <c r="C15" s="41" t="s">
        <v>29</v>
      </c>
      <c r="D15" s="35"/>
      <c r="E15" s="42"/>
      <c r="F15" s="42"/>
      <c r="G15" s="37"/>
      <c r="H15" s="16"/>
    </row>
    <row r="16" spans="1:8" s="27" customFormat="1">
      <c r="A16" s="35" t="s">
        <v>10</v>
      </c>
      <c r="B16" s="36"/>
      <c r="C16" s="95" t="s">
        <v>19</v>
      </c>
      <c r="D16" s="96" t="s">
        <v>13</v>
      </c>
      <c r="E16" s="97">
        <v>45.933999999999997</v>
      </c>
      <c r="F16" s="98">
        <v>950</v>
      </c>
      <c r="G16" s="37">
        <f t="shared" ref="G16" si="0">E16*F16</f>
        <v>43637.299999999996</v>
      </c>
      <c r="H16" s="16"/>
    </row>
    <row r="17" spans="1:8" s="27" customFormat="1">
      <c r="A17" s="38"/>
      <c r="B17" s="120" t="s">
        <v>38</v>
      </c>
      <c r="C17" s="120"/>
      <c r="D17" s="38" t="s">
        <v>33</v>
      </c>
      <c r="E17" s="39"/>
      <c r="F17" s="39"/>
      <c r="G17" s="40">
        <f>SUM(G16:G16)</f>
        <v>43637.299999999996</v>
      </c>
      <c r="H17" s="16"/>
    </row>
    <row r="18" spans="1:8" s="27" customFormat="1">
      <c r="A18" s="35"/>
      <c r="B18" s="36"/>
      <c r="C18" s="41" t="s">
        <v>30</v>
      </c>
      <c r="D18" s="35"/>
      <c r="E18" s="42"/>
      <c r="F18" s="42"/>
      <c r="G18" s="37"/>
      <c r="H18" s="16"/>
    </row>
    <row r="19" spans="1:8" s="27" customFormat="1">
      <c r="A19" s="35" t="s">
        <v>10</v>
      </c>
      <c r="B19" s="36"/>
      <c r="C19" s="99" t="s">
        <v>117</v>
      </c>
      <c r="D19" s="100" t="s">
        <v>14</v>
      </c>
      <c r="E19" s="101">
        <v>1.1999999999999999E-3</v>
      </c>
      <c r="F19" s="102">
        <v>15402000</v>
      </c>
      <c r="G19" s="37">
        <f t="shared" ref="G19:G27" si="1">E19*F19</f>
        <v>18482.399999999998</v>
      </c>
      <c r="H19" s="16"/>
    </row>
    <row r="20" spans="1:8" s="27" customFormat="1">
      <c r="A20" s="35" t="s">
        <v>15</v>
      </c>
      <c r="B20" s="36"/>
      <c r="C20" s="99" t="s">
        <v>43</v>
      </c>
      <c r="D20" s="100" t="s">
        <v>14</v>
      </c>
      <c r="E20" s="101">
        <v>1.333E-2</v>
      </c>
      <c r="F20" s="102">
        <v>650000</v>
      </c>
      <c r="G20" s="37">
        <f t="shared" si="1"/>
        <v>8664.5</v>
      </c>
      <c r="H20" s="16"/>
    </row>
    <row r="21" spans="1:8" s="27" customFormat="1">
      <c r="A21" s="35" t="s">
        <v>16</v>
      </c>
      <c r="B21" s="36"/>
      <c r="C21" s="99" t="s">
        <v>101</v>
      </c>
      <c r="D21" s="100" t="s">
        <v>14</v>
      </c>
      <c r="E21" s="101">
        <v>3.3638000000000001E-2</v>
      </c>
      <c r="F21" s="102">
        <v>19375000</v>
      </c>
      <c r="G21" s="37">
        <f t="shared" si="1"/>
        <v>651736.25</v>
      </c>
      <c r="H21" s="16"/>
    </row>
    <row r="22" spans="1:8" s="27" customFormat="1">
      <c r="A22" s="35" t="s">
        <v>17</v>
      </c>
      <c r="B22" s="36"/>
      <c r="C22" s="99" t="s">
        <v>79</v>
      </c>
      <c r="D22" s="100" t="s">
        <v>45</v>
      </c>
      <c r="E22" s="101">
        <v>894.98</v>
      </c>
      <c r="F22" s="102">
        <v>9960</v>
      </c>
      <c r="G22" s="37">
        <f t="shared" si="1"/>
        <v>8914000.8000000007</v>
      </c>
      <c r="H22" s="16"/>
    </row>
    <row r="23" spans="1:8" s="27" customFormat="1" ht="23.25">
      <c r="A23" s="35" t="s">
        <v>18</v>
      </c>
      <c r="B23" s="36"/>
      <c r="C23" s="99" t="s">
        <v>47</v>
      </c>
      <c r="D23" s="100" t="s">
        <v>42</v>
      </c>
      <c r="E23" s="101">
        <v>0.255</v>
      </c>
      <c r="F23" s="102">
        <v>35000</v>
      </c>
      <c r="G23" s="37">
        <f t="shared" si="1"/>
        <v>8925</v>
      </c>
      <c r="H23" s="16"/>
    </row>
    <row r="24" spans="1:8" s="27" customFormat="1">
      <c r="A24" s="35" t="s">
        <v>20</v>
      </c>
      <c r="B24" s="36"/>
      <c r="C24" s="99" t="s">
        <v>48</v>
      </c>
      <c r="D24" s="100" t="s">
        <v>24</v>
      </c>
      <c r="E24" s="103">
        <v>2300</v>
      </c>
      <c r="F24" s="102">
        <v>545</v>
      </c>
      <c r="G24" s="37">
        <f t="shared" si="1"/>
        <v>1253500</v>
      </c>
      <c r="H24" s="16"/>
    </row>
    <row r="25" spans="1:8" s="27" customFormat="1">
      <c r="A25" s="35" t="s">
        <v>21</v>
      </c>
      <c r="B25" s="36"/>
      <c r="C25" s="99" t="s">
        <v>63</v>
      </c>
      <c r="D25" s="100" t="s">
        <v>23</v>
      </c>
      <c r="E25" s="103">
        <v>272</v>
      </c>
      <c r="F25" s="102">
        <v>287500</v>
      </c>
      <c r="G25" s="37">
        <f t="shared" si="1"/>
        <v>78200000</v>
      </c>
      <c r="H25" s="16"/>
    </row>
    <row r="26" spans="1:8" s="27" customFormat="1">
      <c r="A26" s="35" t="s">
        <v>22</v>
      </c>
      <c r="B26" s="36"/>
      <c r="C26" s="99" t="s">
        <v>113</v>
      </c>
      <c r="D26" s="100" t="s">
        <v>24</v>
      </c>
      <c r="E26" s="103">
        <v>50</v>
      </c>
      <c r="F26" s="102">
        <v>9952</v>
      </c>
      <c r="G26" s="37">
        <f t="shared" si="1"/>
        <v>497600</v>
      </c>
      <c r="H26" s="16"/>
    </row>
    <row r="27" spans="1:8" s="27" customFormat="1">
      <c r="A27" s="35" t="s">
        <v>25</v>
      </c>
      <c r="B27" s="36"/>
      <c r="C27" s="99" t="s">
        <v>65</v>
      </c>
      <c r="D27" s="100" t="s">
        <v>23</v>
      </c>
      <c r="E27" s="103">
        <v>10</v>
      </c>
      <c r="F27" s="102">
        <v>26339</v>
      </c>
      <c r="G27" s="37">
        <f t="shared" si="1"/>
        <v>263390</v>
      </c>
      <c r="H27" s="16"/>
    </row>
    <row r="28" spans="1:8" s="27" customFormat="1">
      <c r="A28" s="35"/>
      <c r="B28" s="43"/>
      <c r="C28" s="44" t="s">
        <v>41</v>
      </c>
      <c r="D28" s="43"/>
      <c r="E28" s="45"/>
      <c r="F28" s="45"/>
      <c r="G28" s="37">
        <f>SUM(G19:G27)</f>
        <v>89816298.950000003</v>
      </c>
      <c r="H28" s="16"/>
    </row>
    <row r="29" spans="1:8" s="27" customFormat="1">
      <c r="A29" s="35"/>
      <c r="B29" s="43"/>
      <c r="C29" s="44" t="s">
        <v>49</v>
      </c>
      <c r="D29" s="43"/>
      <c r="E29" s="45"/>
      <c r="F29" s="45"/>
      <c r="G29" s="37">
        <f>G28*0.05</f>
        <v>4490814.9475000007</v>
      </c>
      <c r="H29" s="16"/>
    </row>
    <row r="30" spans="1:8" s="27" customFormat="1">
      <c r="A30" s="38"/>
      <c r="B30" s="120" t="s">
        <v>39</v>
      </c>
      <c r="C30" s="120"/>
      <c r="D30" s="38" t="s">
        <v>33</v>
      </c>
      <c r="E30" s="39"/>
      <c r="F30" s="39"/>
      <c r="G30" s="40">
        <f>SUM(G28:G29)</f>
        <v>94307113.897500008</v>
      </c>
      <c r="H30" s="16"/>
    </row>
    <row r="31" spans="1:8" s="54" customFormat="1" ht="11.65">
      <c r="A31" s="47"/>
      <c r="B31" s="48"/>
      <c r="C31" s="49" t="s">
        <v>50</v>
      </c>
      <c r="D31" s="47"/>
      <c r="E31" s="50"/>
      <c r="F31" s="51"/>
      <c r="G31" s="52"/>
      <c r="H31" s="53"/>
    </row>
    <row r="32" spans="1:8" s="54" customFormat="1" ht="11.65">
      <c r="A32" s="47">
        <v>1</v>
      </c>
      <c r="B32" s="48" t="s">
        <v>51</v>
      </c>
      <c r="C32" s="104" t="s">
        <v>107</v>
      </c>
      <c r="D32" s="105" t="s">
        <v>24</v>
      </c>
      <c r="E32" s="107">
        <v>20</v>
      </c>
      <c r="F32" s="106">
        <v>6954</v>
      </c>
      <c r="G32" s="52">
        <f>F32*E32</f>
        <v>139080</v>
      </c>
      <c r="H32" s="53"/>
    </row>
    <row r="33" spans="1:8" s="54" customFormat="1" ht="11.65">
      <c r="A33" s="47">
        <v>2</v>
      </c>
      <c r="B33" s="48" t="s">
        <v>51</v>
      </c>
      <c r="C33" s="104" t="s">
        <v>105</v>
      </c>
      <c r="D33" s="105" t="s">
        <v>24</v>
      </c>
      <c r="E33" s="107">
        <v>100</v>
      </c>
      <c r="F33" s="106">
        <v>5991</v>
      </c>
      <c r="G33" s="52">
        <f t="shared" ref="G33:G34" si="2">F33*E33</f>
        <v>599100</v>
      </c>
      <c r="H33" s="53"/>
    </row>
    <row r="34" spans="1:8" s="54" customFormat="1" ht="11.65">
      <c r="A34" s="47">
        <v>3</v>
      </c>
      <c r="B34" s="48" t="s">
        <v>51</v>
      </c>
      <c r="C34" s="104" t="s">
        <v>103</v>
      </c>
      <c r="D34" s="105" t="s">
        <v>24</v>
      </c>
      <c r="E34" s="107">
        <v>2300</v>
      </c>
      <c r="F34" s="106">
        <v>3348</v>
      </c>
      <c r="G34" s="52">
        <f t="shared" si="2"/>
        <v>7700400</v>
      </c>
      <c r="H34" s="53"/>
    </row>
    <row r="35" spans="1:8" s="54" customFormat="1" ht="11.65">
      <c r="A35" s="47"/>
      <c r="B35" s="47"/>
      <c r="C35" s="49" t="s">
        <v>52</v>
      </c>
      <c r="D35" s="47" t="s">
        <v>33</v>
      </c>
      <c r="E35" s="50"/>
      <c r="F35" s="51"/>
      <c r="G35" s="37">
        <f>SUM(G32:G34)</f>
        <v>8438580</v>
      </c>
      <c r="H35" s="53"/>
    </row>
    <row r="36" spans="1:8" s="54" customFormat="1" ht="11.65">
      <c r="A36" s="47"/>
      <c r="B36" s="47"/>
      <c r="C36" s="47" t="s">
        <v>53</v>
      </c>
      <c r="D36" s="47" t="s">
        <v>33</v>
      </c>
      <c r="E36" s="50"/>
      <c r="F36" s="51"/>
      <c r="G36" s="52">
        <f>0.015*G35</f>
        <v>126578.7</v>
      </c>
      <c r="H36" s="53"/>
    </row>
    <row r="37" spans="1:8" s="54" customFormat="1" ht="11.65">
      <c r="A37" s="55"/>
      <c r="B37" s="121" t="s">
        <v>54</v>
      </c>
      <c r="C37" s="121"/>
      <c r="D37" s="55" t="s">
        <v>33</v>
      </c>
      <c r="E37" s="56"/>
      <c r="F37" s="57"/>
      <c r="G37" s="40">
        <f>G36+G35</f>
        <v>8565158.6999999993</v>
      </c>
      <c r="H37" s="53"/>
    </row>
    <row r="38" spans="1:8" s="61" customFormat="1" ht="11.65">
      <c r="A38" s="47"/>
      <c r="B38" s="48"/>
      <c r="C38" s="58" t="s">
        <v>55</v>
      </c>
      <c r="D38" s="47"/>
      <c r="E38" s="59"/>
      <c r="F38" s="59"/>
      <c r="G38" s="60"/>
      <c r="H38" s="53"/>
    </row>
    <row r="39" spans="1:8" s="61" customFormat="1" ht="11.65">
      <c r="A39" s="47" t="s">
        <v>10</v>
      </c>
      <c r="B39" s="48"/>
      <c r="C39" s="108" t="s">
        <v>91</v>
      </c>
      <c r="D39" s="109" t="s">
        <v>23</v>
      </c>
      <c r="E39" s="111">
        <v>2</v>
      </c>
      <c r="F39" s="110">
        <v>185000</v>
      </c>
      <c r="G39" s="60">
        <f t="shared" ref="G39:G48" si="3">E39*F39</f>
        <v>370000</v>
      </c>
      <c r="H39" s="53"/>
    </row>
    <row r="40" spans="1:8" s="61" customFormat="1" ht="11.65">
      <c r="A40" s="47" t="s">
        <v>15</v>
      </c>
      <c r="B40" s="48"/>
      <c r="C40" s="108" t="s">
        <v>70</v>
      </c>
      <c r="D40" s="109" t="s">
        <v>23</v>
      </c>
      <c r="E40" s="111">
        <v>10</v>
      </c>
      <c r="F40" s="110">
        <v>573437</v>
      </c>
      <c r="G40" s="60">
        <f t="shared" si="3"/>
        <v>5734370</v>
      </c>
      <c r="H40" s="53"/>
    </row>
    <row r="41" spans="1:8" s="61" customFormat="1" ht="11.65">
      <c r="A41" s="47" t="s">
        <v>16</v>
      </c>
      <c r="B41" s="48"/>
      <c r="C41" s="108" t="s">
        <v>119</v>
      </c>
      <c r="D41" s="109" t="s">
        <v>23</v>
      </c>
      <c r="E41" s="111">
        <v>3</v>
      </c>
      <c r="F41" s="110">
        <v>1697000</v>
      </c>
      <c r="G41" s="60">
        <f t="shared" si="3"/>
        <v>5091000</v>
      </c>
      <c r="H41" s="53"/>
    </row>
    <row r="42" spans="1:8" s="61" customFormat="1" ht="11.65">
      <c r="A42" s="47" t="s">
        <v>17</v>
      </c>
      <c r="B42" s="48"/>
      <c r="C42" s="108" t="s">
        <v>123</v>
      </c>
      <c r="D42" s="109" t="s">
        <v>23</v>
      </c>
      <c r="E42" s="111">
        <v>1</v>
      </c>
      <c r="F42" s="110">
        <v>1948464</v>
      </c>
      <c r="G42" s="60">
        <f t="shared" si="3"/>
        <v>1948464</v>
      </c>
      <c r="H42" s="53"/>
    </row>
    <row r="43" spans="1:8" s="61" customFormat="1" ht="11.65">
      <c r="A43" s="47" t="s">
        <v>18</v>
      </c>
      <c r="B43" s="48"/>
      <c r="C43" s="108" t="s">
        <v>111</v>
      </c>
      <c r="D43" s="109" t="s">
        <v>23</v>
      </c>
      <c r="E43" s="111">
        <v>10</v>
      </c>
      <c r="F43" s="110">
        <v>1570800</v>
      </c>
      <c r="G43" s="60">
        <f t="shared" si="3"/>
        <v>15708000</v>
      </c>
      <c r="H43" s="53"/>
    </row>
    <row r="44" spans="1:8" s="61" customFormat="1" ht="11.65">
      <c r="A44" s="47" t="s">
        <v>20</v>
      </c>
      <c r="B44" s="48"/>
      <c r="C44" s="108" t="s">
        <v>86</v>
      </c>
      <c r="D44" s="109" t="s">
        <v>23</v>
      </c>
      <c r="E44" s="111">
        <v>1</v>
      </c>
      <c r="F44" s="110">
        <v>185000</v>
      </c>
      <c r="G44" s="60">
        <f t="shared" si="3"/>
        <v>185000</v>
      </c>
      <c r="H44" s="53"/>
    </row>
    <row r="45" spans="1:8" s="61" customFormat="1" ht="11.65">
      <c r="A45" s="47" t="s">
        <v>21</v>
      </c>
      <c r="B45" s="48"/>
      <c r="C45" s="108" t="s">
        <v>94</v>
      </c>
      <c r="D45" s="109" t="s">
        <v>23</v>
      </c>
      <c r="E45" s="111">
        <v>1</v>
      </c>
      <c r="F45" s="110">
        <v>5000000</v>
      </c>
      <c r="G45" s="60">
        <f t="shared" si="3"/>
        <v>5000000</v>
      </c>
      <c r="H45" s="53"/>
    </row>
    <row r="46" spans="1:8" s="61" customFormat="1" ht="11.65">
      <c r="A46" s="47" t="s">
        <v>22</v>
      </c>
      <c r="B46" s="48"/>
      <c r="C46" s="108" t="s">
        <v>97</v>
      </c>
      <c r="D46" s="109" t="s">
        <v>23</v>
      </c>
      <c r="E46" s="111">
        <v>10</v>
      </c>
      <c r="F46" s="110">
        <v>116438</v>
      </c>
      <c r="G46" s="60">
        <f t="shared" si="3"/>
        <v>1164380</v>
      </c>
      <c r="H46" s="53"/>
    </row>
    <row r="47" spans="1:8" s="61" customFormat="1" ht="11.65">
      <c r="A47" s="47" t="s">
        <v>25</v>
      </c>
      <c r="B47" s="48"/>
      <c r="C47" s="108" t="s">
        <v>75</v>
      </c>
      <c r="D47" s="109" t="s">
        <v>23</v>
      </c>
      <c r="E47" s="111">
        <v>10</v>
      </c>
      <c r="F47" s="110">
        <v>115000</v>
      </c>
      <c r="G47" s="60">
        <f t="shared" si="3"/>
        <v>1150000</v>
      </c>
      <c r="H47" s="53"/>
    </row>
    <row r="48" spans="1:8" s="61" customFormat="1" ht="11.65">
      <c r="A48" s="47" t="s">
        <v>26</v>
      </c>
      <c r="B48" s="48"/>
      <c r="C48" s="108" t="s">
        <v>81</v>
      </c>
      <c r="D48" s="109" t="s">
        <v>23</v>
      </c>
      <c r="E48" s="111">
        <v>3</v>
      </c>
      <c r="F48" s="110">
        <v>768320</v>
      </c>
      <c r="G48" s="60">
        <f t="shared" si="3"/>
        <v>2304960</v>
      </c>
      <c r="H48" s="53"/>
    </row>
    <row r="49" spans="1:8" s="61" customFormat="1" ht="11.65">
      <c r="A49" s="62"/>
      <c r="B49" s="63"/>
      <c r="C49" s="64" t="s">
        <v>41</v>
      </c>
      <c r="D49" s="65"/>
      <c r="E49" s="66"/>
      <c r="F49" s="66"/>
      <c r="G49" s="60">
        <f>SUM(G39:G48)</f>
        <v>38656174</v>
      </c>
      <c r="H49" s="53"/>
    </row>
    <row r="50" spans="1:8" s="61" customFormat="1" ht="11.65">
      <c r="A50" s="67"/>
      <c r="B50" s="63"/>
      <c r="C50" s="58" t="s">
        <v>56</v>
      </c>
      <c r="D50" s="63"/>
      <c r="E50" s="67"/>
      <c r="F50" s="67"/>
      <c r="G50" s="60">
        <f>G49*2%</f>
        <v>773123.48</v>
      </c>
      <c r="H50" s="53"/>
    </row>
    <row r="51" spans="1:8" s="61" customFormat="1" ht="11.65">
      <c r="A51" s="68"/>
      <c r="B51" s="122" t="s">
        <v>57</v>
      </c>
      <c r="C51" s="122"/>
      <c r="D51" s="68" t="s">
        <v>33</v>
      </c>
      <c r="E51" s="69"/>
      <c r="F51" s="69"/>
      <c r="G51" s="70">
        <f>G49+G50</f>
        <v>39429297.479999997</v>
      </c>
      <c r="H51" s="53"/>
    </row>
    <row r="52" spans="1:8" s="27" customFormat="1">
      <c r="A52" s="38"/>
      <c r="B52" s="120" t="s">
        <v>40</v>
      </c>
      <c r="C52" s="120"/>
      <c r="D52" s="38" t="s">
        <v>33</v>
      </c>
      <c r="E52" s="39"/>
      <c r="F52" s="39"/>
      <c r="G52" s="40">
        <f>G51+G37+G30+G17+G14</f>
        <v>172797710.6735</v>
      </c>
      <c r="H52" s="16"/>
    </row>
    <row r="53" spans="1:8" s="1" customFormat="1">
      <c r="A53" s="16"/>
      <c r="B53" s="16"/>
      <c r="C53" s="16"/>
      <c r="D53" s="19"/>
      <c r="E53" s="16"/>
      <c r="F53" s="115" t="s">
        <v>2</v>
      </c>
      <c r="G53" s="115"/>
      <c r="H53" s="16"/>
    </row>
  </sheetData>
  <autoFilter ref="A1:G54" xr:uid="{0E7F1A75-A523-410F-AC1D-24EB48A47DC7}"/>
  <mergeCells count="19">
    <mergeCell ref="A8:A10"/>
    <mergeCell ref="B8:B10"/>
    <mergeCell ref="C8:C10"/>
    <mergeCell ref="D8:D10"/>
    <mergeCell ref="E8:E10"/>
    <mergeCell ref="B2:G2"/>
    <mergeCell ref="B3:G3"/>
    <mergeCell ref="B6:G6"/>
    <mergeCell ref="F53:G53"/>
    <mergeCell ref="C5:F5"/>
    <mergeCell ref="C7:E7"/>
    <mergeCell ref="F8:G8"/>
    <mergeCell ref="F9:G9"/>
    <mergeCell ref="B14:C14"/>
    <mergeCell ref="B17:C17"/>
    <mergeCell ref="B30:C30"/>
    <mergeCell ref="B52:C52"/>
    <mergeCell ref="B37:C37"/>
    <mergeCell ref="B51:C51"/>
  </mergeCells>
  <phoneticPr fontId="10" type="noConversion"/>
  <printOptions horizontalCentered="1"/>
  <pageMargins left="0.39370078740157483" right="0.19685039370078741" top="0.39370078740157483" bottom="0.39370078740157483" header="0.39370078740157483" footer="0.39370078740157483"/>
  <pageSetup paperSize="9" scale="70" fitToHeight="1000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A74A-B81B-41B0-B88F-06DF3EA2A4DF}">
  <sheetPr>
    <pageSetUpPr fitToPage="1"/>
  </sheetPr>
  <dimension ref="A1:F69"/>
  <sheetViews>
    <sheetView showGridLines="0" tabSelected="1" view="pageBreakPreview" zoomScaleNormal="100" zoomScaleSheetLayoutView="100" workbookViewId="0">
      <selection activeCell="C24" sqref="C24"/>
    </sheetView>
  </sheetViews>
  <sheetFormatPr defaultRowHeight="13.15"/>
  <cols>
    <col min="1" max="1" width="5.3984375" style="12" customWidth="1"/>
    <col min="2" max="2" width="13.59765625" style="12" customWidth="1"/>
    <col min="3" max="3" width="82.86328125" style="12" customWidth="1"/>
    <col min="4" max="6" width="10.1328125" style="12" customWidth="1"/>
    <col min="7" max="255" width="9.1328125" style="12"/>
    <col min="256" max="256" width="5.3984375" style="12" customWidth="1"/>
    <col min="257" max="257" width="13.59765625" style="12" customWidth="1"/>
    <col min="258" max="258" width="82.86328125" style="12" customWidth="1"/>
    <col min="259" max="261" width="10.1328125" style="12" customWidth="1"/>
    <col min="262" max="511" width="9.1328125" style="12"/>
    <col min="512" max="512" width="5.3984375" style="12" customWidth="1"/>
    <col min="513" max="513" width="13.59765625" style="12" customWidth="1"/>
    <col min="514" max="514" width="82.86328125" style="12" customWidth="1"/>
    <col min="515" max="517" width="10.1328125" style="12" customWidth="1"/>
    <col min="518" max="767" width="9.1328125" style="12"/>
    <col min="768" max="768" width="5.3984375" style="12" customWidth="1"/>
    <col min="769" max="769" width="13.59765625" style="12" customWidth="1"/>
    <col min="770" max="770" width="82.86328125" style="12" customWidth="1"/>
    <col min="771" max="773" width="10.1328125" style="12" customWidth="1"/>
    <col min="774" max="1023" width="9.1328125" style="12"/>
    <col min="1024" max="1024" width="5.3984375" style="12" customWidth="1"/>
    <col min="1025" max="1025" width="13.59765625" style="12" customWidth="1"/>
    <col min="1026" max="1026" width="82.86328125" style="12" customWidth="1"/>
    <col min="1027" max="1029" width="10.1328125" style="12" customWidth="1"/>
    <col min="1030" max="1279" width="9.1328125" style="12"/>
    <col min="1280" max="1280" width="5.3984375" style="12" customWidth="1"/>
    <col min="1281" max="1281" width="13.59765625" style="12" customWidth="1"/>
    <col min="1282" max="1282" width="82.86328125" style="12" customWidth="1"/>
    <col min="1283" max="1285" width="10.1328125" style="12" customWidth="1"/>
    <col min="1286" max="1535" width="9.1328125" style="12"/>
    <col min="1536" max="1536" width="5.3984375" style="12" customWidth="1"/>
    <col min="1537" max="1537" width="13.59765625" style="12" customWidth="1"/>
    <col min="1538" max="1538" width="82.86328125" style="12" customWidth="1"/>
    <col min="1539" max="1541" width="10.1328125" style="12" customWidth="1"/>
    <col min="1542" max="1791" width="9.1328125" style="12"/>
    <col min="1792" max="1792" width="5.3984375" style="12" customWidth="1"/>
    <col min="1793" max="1793" width="13.59765625" style="12" customWidth="1"/>
    <col min="1794" max="1794" width="82.86328125" style="12" customWidth="1"/>
    <col min="1795" max="1797" width="10.1328125" style="12" customWidth="1"/>
    <col min="1798" max="2047" width="9.1328125" style="12"/>
    <col min="2048" max="2048" width="5.3984375" style="12" customWidth="1"/>
    <col min="2049" max="2049" width="13.59765625" style="12" customWidth="1"/>
    <col min="2050" max="2050" width="82.86328125" style="12" customWidth="1"/>
    <col min="2051" max="2053" width="10.1328125" style="12" customWidth="1"/>
    <col min="2054" max="2303" width="9.1328125" style="12"/>
    <col min="2304" max="2304" width="5.3984375" style="12" customWidth="1"/>
    <col min="2305" max="2305" width="13.59765625" style="12" customWidth="1"/>
    <col min="2306" max="2306" width="82.86328125" style="12" customWidth="1"/>
    <col min="2307" max="2309" width="10.1328125" style="12" customWidth="1"/>
    <col min="2310" max="2559" width="9.1328125" style="12"/>
    <col min="2560" max="2560" width="5.3984375" style="12" customWidth="1"/>
    <col min="2561" max="2561" width="13.59765625" style="12" customWidth="1"/>
    <col min="2562" max="2562" width="82.86328125" style="12" customWidth="1"/>
    <col min="2563" max="2565" width="10.1328125" style="12" customWidth="1"/>
    <col min="2566" max="2815" width="9.1328125" style="12"/>
    <col min="2816" max="2816" width="5.3984375" style="12" customWidth="1"/>
    <col min="2817" max="2817" width="13.59765625" style="12" customWidth="1"/>
    <col min="2818" max="2818" width="82.86328125" style="12" customWidth="1"/>
    <col min="2819" max="2821" width="10.1328125" style="12" customWidth="1"/>
    <col min="2822" max="3071" width="9.1328125" style="12"/>
    <col min="3072" max="3072" width="5.3984375" style="12" customWidth="1"/>
    <col min="3073" max="3073" width="13.59765625" style="12" customWidth="1"/>
    <col min="3074" max="3074" width="82.86328125" style="12" customWidth="1"/>
    <col min="3075" max="3077" width="10.1328125" style="12" customWidth="1"/>
    <col min="3078" max="3327" width="9.1328125" style="12"/>
    <col min="3328" max="3328" width="5.3984375" style="12" customWidth="1"/>
    <col min="3329" max="3329" width="13.59765625" style="12" customWidth="1"/>
    <col min="3330" max="3330" width="82.86328125" style="12" customWidth="1"/>
    <col min="3331" max="3333" width="10.1328125" style="12" customWidth="1"/>
    <col min="3334" max="3583" width="9.1328125" style="12"/>
    <col min="3584" max="3584" width="5.3984375" style="12" customWidth="1"/>
    <col min="3585" max="3585" width="13.59765625" style="12" customWidth="1"/>
    <col min="3586" max="3586" width="82.86328125" style="12" customWidth="1"/>
    <col min="3587" max="3589" width="10.1328125" style="12" customWidth="1"/>
    <col min="3590" max="3839" width="9.1328125" style="12"/>
    <col min="3840" max="3840" width="5.3984375" style="12" customWidth="1"/>
    <col min="3841" max="3841" width="13.59765625" style="12" customWidth="1"/>
    <col min="3842" max="3842" width="82.86328125" style="12" customWidth="1"/>
    <col min="3843" max="3845" width="10.1328125" style="12" customWidth="1"/>
    <col min="3846" max="4095" width="9.1328125" style="12"/>
    <col min="4096" max="4096" width="5.3984375" style="12" customWidth="1"/>
    <col min="4097" max="4097" width="13.59765625" style="12" customWidth="1"/>
    <col min="4098" max="4098" width="82.86328125" style="12" customWidth="1"/>
    <col min="4099" max="4101" width="10.1328125" style="12" customWidth="1"/>
    <col min="4102" max="4351" width="9.1328125" style="12"/>
    <col min="4352" max="4352" width="5.3984375" style="12" customWidth="1"/>
    <col min="4353" max="4353" width="13.59765625" style="12" customWidth="1"/>
    <col min="4354" max="4354" width="82.86328125" style="12" customWidth="1"/>
    <col min="4355" max="4357" width="10.1328125" style="12" customWidth="1"/>
    <col min="4358" max="4607" width="9.1328125" style="12"/>
    <col min="4608" max="4608" width="5.3984375" style="12" customWidth="1"/>
    <col min="4609" max="4609" width="13.59765625" style="12" customWidth="1"/>
    <col min="4610" max="4610" width="82.86328125" style="12" customWidth="1"/>
    <col min="4611" max="4613" width="10.1328125" style="12" customWidth="1"/>
    <col min="4614" max="4863" width="9.1328125" style="12"/>
    <col min="4864" max="4864" width="5.3984375" style="12" customWidth="1"/>
    <col min="4865" max="4865" width="13.59765625" style="12" customWidth="1"/>
    <col min="4866" max="4866" width="82.86328125" style="12" customWidth="1"/>
    <col min="4867" max="4869" width="10.1328125" style="12" customWidth="1"/>
    <col min="4870" max="5119" width="9.1328125" style="12"/>
    <col min="5120" max="5120" width="5.3984375" style="12" customWidth="1"/>
    <col min="5121" max="5121" width="13.59765625" style="12" customWidth="1"/>
    <col min="5122" max="5122" width="82.86328125" style="12" customWidth="1"/>
    <col min="5123" max="5125" width="10.1328125" style="12" customWidth="1"/>
    <col min="5126" max="5375" width="9.1328125" style="12"/>
    <col min="5376" max="5376" width="5.3984375" style="12" customWidth="1"/>
    <col min="5377" max="5377" width="13.59765625" style="12" customWidth="1"/>
    <col min="5378" max="5378" width="82.86328125" style="12" customWidth="1"/>
    <col min="5379" max="5381" width="10.1328125" style="12" customWidth="1"/>
    <col min="5382" max="5631" width="9.1328125" style="12"/>
    <col min="5632" max="5632" width="5.3984375" style="12" customWidth="1"/>
    <col min="5633" max="5633" width="13.59765625" style="12" customWidth="1"/>
    <col min="5634" max="5634" width="82.86328125" style="12" customWidth="1"/>
    <col min="5635" max="5637" width="10.1328125" style="12" customWidth="1"/>
    <col min="5638" max="5887" width="9.1328125" style="12"/>
    <col min="5888" max="5888" width="5.3984375" style="12" customWidth="1"/>
    <col min="5889" max="5889" width="13.59765625" style="12" customWidth="1"/>
    <col min="5890" max="5890" width="82.86328125" style="12" customWidth="1"/>
    <col min="5891" max="5893" width="10.1328125" style="12" customWidth="1"/>
    <col min="5894" max="6143" width="9.1328125" style="12"/>
    <col min="6144" max="6144" width="5.3984375" style="12" customWidth="1"/>
    <col min="6145" max="6145" width="13.59765625" style="12" customWidth="1"/>
    <col min="6146" max="6146" width="82.86328125" style="12" customWidth="1"/>
    <col min="6147" max="6149" width="10.1328125" style="12" customWidth="1"/>
    <col min="6150" max="6399" width="9.1328125" style="12"/>
    <col min="6400" max="6400" width="5.3984375" style="12" customWidth="1"/>
    <col min="6401" max="6401" width="13.59765625" style="12" customWidth="1"/>
    <col min="6402" max="6402" width="82.86328125" style="12" customWidth="1"/>
    <col min="6403" max="6405" width="10.1328125" style="12" customWidth="1"/>
    <col min="6406" max="6655" width="9.1328125" style="12"/>
    <col min="6656" max="6656" width="5.3984375" style="12" customWidth="1"/>
    <col min="6657" max="6657" width="13.59765625" style="12" customWidth="1"/>
    <col min="6658" max="6658" width="82.86328125" style="12" customWidth="1"/>
    <col min="6659" max="6661" width="10.1328125" style="12" customWidth="1"/>
    <col min="6662" max="6911" width="9.1328125" style="12"/>
    <col min="6912" max="6912" width="5.3984375" style="12" customWidth="1"/>
    <col min="6913" max="6913" width="13.59765625" style="12" customWidth="1"/>
    <col min="6914" max="6914" width="82.86328125" style="12" customWidth="1"/>
    <col min="6915" max="6917" width="10.1328125" style="12" customWidth="1"/>
    <col min="6918" max="7167" width="9.1328125" style="12"/>
    <col min="7168" max="7168" width="5.3984375" style="12" customWidth="1"/>
    <col min="7169" max="7169" width="13.59765625" style="12" customWidth="1"/>
    <col min="7170" max="7170" width="82.86328125" style="12" customWidth="1"/>
    <col min="7171" max="7173" width="10.1328125" style="12" customWidth="1"/>
    <col min="7174" max="7423" width="9.1328125" style="12"/>
    <col min="7424" max="7424" width="5.3984375" style="12" customWidth="1"/>
    <col min="7425" max="7425" width="13.59765625" style="12" customWidth="1"/>
    <col min="7426" max="7426" width="82.86328125" style="12" customWidth="1"/>
    <col min="7427" max="7429" width="10.1328125" style="12" customWidth="1"/>
    <col min="7430" max="7679" width="9.1328125" style="12"/>
    <col min="7680" max="7680" width="5.3984375" style="12" customWidth="1"/>
    <col min="7681" max="7681" width="13.59765625" style="12" customWidth="1"/>
    <col min="7682" max="7682" width="82.86328125" style="12" customWidth="1"/>
    <col min="7683" max="7685" width="10.1328125" style="12" customWidth="1"/>
    <col min="7686" max="7935" width="9.1328125" style="12"/>
    <col min="7936" max="7936" width="5.3984375" style="12" customWidth="1"/>
    <col min="7937" max="7937" width="13.59765625" style="12" customWidth="1"/>
    <col min="7938" max="7938" width="82.86328125" style="12" customWidth="1"/>
    <col min="7939" max="7941" width="10.1328125" style="12" customWidth="1"/>
    <col min="7942" max="8191" width="9.1328125" style="12"/>
    <col min="8192" max="8192" width="5.3984375" style="12" customWidth="1"/>
    <col min="8193" max="8193" width="13.59765625" style="12" customWidth="1"/>
    <col min="8194" max="8194" width="82.86328125" style="12" customWidth="1"/>
    <col min="8195" max="8197" width="10.1328125" style="12" customWidth="1"/>
    <col min="8198" max="8447" width="9.1328125" style="12"/>
    <col min="8448" max="8448" width="5.3984375" style="12" customWidth="1"/>
    <col min="8449" max="8449" width="13.59765625" style="12" customWidth="1"/>
    <col min="8450" max="8450" width="82.86328125" style="12" customWidth="1"/>
    <col min="8451" max="8453" width="10.1328125" style="12" customWidth="1"/>
    <col min="8454" max="8703" width="9.1328125" style="12"/>
    <col min="8704" max="8704" width="5.3984375" style="12" customWidth="1"/>
    <col min="8705" max="8705" width="13.59765625" style="12" customWidth="1"/>
    <col min="8706" max="8706" width="82.86328125" style="12" customWidth="1"/>
    <col min="8707" max="8709" width="10.1328125" style="12" customWidth="1"/>
    <col min="8710" max="8959" width="9.1328125" style="12"/>
    <col min="8960" max="8960" width="5.3984375" style="12" customWidth="1"/>
    <col min="8961" max="8961" width="13.59765625" style="12" customWidth="1"/>
    <col min="8962" max="8962" width="82.86328125" style="12" customWidth="1"/>
    <col min="8963" max="8965" width="10.1328125" style="12" customWidth="1"/>
    <col min="8966" max="9215" width="9.1328125" style="12"/>
    <col min="9216" max="9216" width="5.3984375" style="12" customWidth="1"/>
    <col min="9217" max="9217" width="13.59765625" style="12" customWidth="1"/>
    <col min="9218" max="9218" width="82.86328125" style="12" customWidth="1"/>
    <col min="9219" max="9221" width="10.1328125" style="12" customWidth="1"/>
    <col min="9222" max="9471" width="9.1328125" style="12"/>
    <col min="9472" max="9472" width="5.3984375" style="12" customWidth="1"/>
    <col min="9473" max="9473" width="13.59765625" style="12" customWidth="1"/>
    <col min="9474" max="9474" width="82.86328125" style="12" customWidth="1"/>
    <col min="9475" max="9477" width="10.1328125" style="12" customWidth="1"/>
    <col min="9478" max="9727" width="9.1328125" style="12"/>
    <col min="9728" max="9728" width="5.3984375" style="12" customWidth="1"/>
    <col min="9729" max="9729" width="13.59765625" style="12" customWidth="1"/>
    <col min="9730" max="9730" width="82.86328125" style="12" customWidth="1"/>
    <col min="9731" max="9733" width="10.1328125" style="12" customWidth="1"/>
    <col min="9734" max="9983" width="9.1328125" style="12"/>
    <col min="9984" max="9984" width="5.3984375" style="12" customWidth="1"/>
    <col min="9985" max="9985" width="13.59765625" style="12" customWidth="1"/>
    <col min="9986" max="9986" width="82.86328125" style="12" customWidth="1"/>
    <col min="9987" max="9989" width="10.1328125" style="12" customWidth="1"/>
    <col min="9990" max="10239" width="9.1328125" style="12"/>
    <col min="10240" max="10240" width="5.3984375" style="12" customWidth="1"/>
    <col min="10241" max="10241" width="13.59765625" style="12" customWidth="1"/>
    <col min="10242" max="10242" width="82.86328125" style="12" customWidth="1"/>
    <col min="10243" max="10245" width="10.1328125" style="12" customWidth="1"/>
    <col min="10246" max="10495" width="9.1328125" style="12"/>
    <col min="10496" max="10496" width="5.3984375" style="12" customWidth="1"/>
    <col min="10497" max="10497" width="13.59765625" style="12" customWidth="1"/>
    <col min="10498" max="10498" width="82.86328125" style="12" customWidth="1"/>
    <col min="10499" max="10501" width="10.1328125" style="12" customWidth="1"/>
    <col min="10502" max="10751" width="9.1328125" style="12"/>
    <col min="10752" max="10752" width="5.3984375" style="12" customWidth="1"/>
    <col min="10753" max="10753" width="13.59765625" style="12" customWidth="1"/>
    <col min="10754" max="10754" width="82.86328125" style="12" customWidth="1"/>
    <col min="10755" max="10757" width="10.1328125" style="12" customWidth="1"/>
    <col min="10758" max="11007" width="9.1328125" style="12"/>
    <col min="11008" max="11008" width="5.3984375" style="12" customWidth="1"/>
    <col min="11009" max="11009" width="13.59765625" style="12" customWidth="1"/>
    <col min="11010" max="11010" width="82.86328125" style="12" customWidth="1"/>
    <col min="11011" max="11013" width="10.1328125" style="12" customWidth="1"/>
    <col min="11014" max="11263" width="9.1328125" style="12"/>
    <col min="11264" max="11264" width="5.3984375" style="12" customWidth="1"/>
    <col min="11265" max="11265" width="13.59765625" style="12" customWidth="1"/>
    <col min="11266" max="11266" width="82.86328125" style="12" customWidth="1"/>
    <col min="11267" max="11269" width="10.1328125" style="12" customWidth="1"/>
    <col min="11270" max="11519" width="9.1328125" style="12"/>
    <col min="11520" max="11520" width="5.3984375" style="12" customWidth="1"/>
    <col min="11521" max="11521" width="13.59765625" style="12" customWidth="1"/>
    <col min="11522" max="11522" width="82.86328125" style="12" customWidth="1"/>
    <col min="11523" max="11525" width="10.1328125" style="12" customWidth="1"/>
    <col min="11526" max="11775" width="9.1328125" style="12"/>
    <col min="11776" max="11776" width="5.3984375" style="12" customWidth="1"/>
    <col min="11777" max="11777" width="13.59765625" style="12" customWidth="1"/>
    <col min="11778" max="11778" width="82.86328125" style="12" customWidth="1"/>
    <col min="11779" max="11781" width="10.1328125" style="12" customWidth="1"/>
    <col min="11782" max="12031" width="9.1328125" style="12"/>
    <col min="12032" max="12032" width="5.3984375" style="12" customWidth="1"/>
    <col min="12033" max="12033" width="13.59765625" style="12" customWidth="1"/>
    <col min="12034" max="12034" width="82.86328125" style="12" customWidth="1"/>
    <col min="12035" max="12037" width="10.1328125" style="12" customWidth="1"/>
    <col min="12038" max="12287" width="9.1328125" style="12"/>
    <col min="12288" max="12288" width="5.3984375" style="12" customWidth="1"/>
    <col min="12289" max="12289" width="13.59765625" style="12" customWidth="1"/>
    <col min="12290" max="12290" width="82.86328125" style="12" customWidth="1"/>
    <col min="12291" max="12293" width="10.1328125" style="12" customWidth="1"/>
    <col min="12294" max="12543" width="9.1328125" style="12"/>
    <col min="12544" max="12544" width="5.3984375" style="12" customWidth="1"/>
    <col min="12545" max="12545" width="13.59765625" style="12" customWidth="1"/>
    <col min="12546" max="12546" width="82.86328125" style="12" customWidth="1"/>
    <col min="12547" max="12549" width="10.1328125" style="12" customWidth="1"/>
    <col min="12550" max="12799" width="9.1328125" style="12"/>
    <col min="12800" max="12800" width="5.3984375" style="12" customWidth="1"/>
    <col min="12801" max="12801" width="13.59765625" style="12" customWidth="1"/>
    <col min="12802" max="12802" width="82.86328125" style="12" customWidth="1"/>
    <col min="12803" max="12805" width="10.1328125" style="12" customWidth="1"/>
    <col min="12806" max="13055" width="9.1328125" style="12"/>
    <col min="13056" max="13056" width="5.3984375" style="12" customWidth="1"/>
    <col min="13057" max="13057" width="13.59765625" style="12" customWidth="1"/>
    <col min="13058" max="13058" width="82.86328125" style="12" customWidth="1"/>
    <col min="13059" max="13061" width="10.1328125" style="12" customWidth="1"/>
    <col min="13062" max="13311" width="9.1328125" style="12"/>
    <col min="13312" max="13312" width="5.3984375" style="12" customWidth="1"/>
    <col min="13313" max="13313" width="13.59765625" style="12" customWidth="1"/>
    <col min="13314" max="13314" width="82.86328125" style="12" customWidth="1"/>
    <col min="13315" max="13317" width="10.1328125" style="12" customWidth="1"/>
    <col min="13318" max="13567" width="9.1328125" style="12"/>
    <col min="13568" max="13568" width="5.3984375" style="12" customWidth="1"/>
    <col min="13569" max="13569" width="13.59765625" style="12" customWidth="1"/>
    <col min="13570" max="13570" width="82.86328125" style="12" customWidth="1"/>
    <col min="13571" max="13573" width="10.1328125" style="12" customWidth="1"/>
    <col min="13574" max="13823" width="9.1328125" style="12"/>
    <col min="13824" max="13824" width="5.3984375" style="12" customWidth="1"/>
    <col min="13825" max="13825" width="13.59765625" style="12" customWidth="1"/>
    <col min="13826" max="13826" width="82.86328125" style="12" customWidth="1"/>
    <col min="13827" max="13829" width="10.1328125" style="12" customWidth="1"/>
    <col min="13830" max="14079" width="9.1328125" style="12"/>
    <col min="14080" max="14080" width="5.3984375" style="12" customWidth="1"/>
    <col min="14081" max="14081" width="13.59765625" style="12" customWidth="1"/>
    <col min="14082" max="14082" width="82.86328125" style="12" customWidth="1"/>
    <col min="14083" max="14085" width="10.1328125" style="12" customWidth="1"/>
    <col min="14086" max="14335" width="9.1328125" style="12"/>
    <col min="14336" max="14336" width="5.3984375" style="12" customWidth="1"/>
    <col min="14337" max="14337" width="13.59765625" style="12" customWidth="1"/>
    <col min="14338" max="14338" width="82.86328125" style="12" customWidth="1"/>
    <col min="14339" max="14341" width="10.1328125" style="12" customWidth="1"/>
    <col min="14342" max="14591" width="9.1328125" style="12"/>
    <col min="14592" max="14592" width="5.3984375" style="12" customWidth="1"/>
    <col min="14593" max="14593" width="13.59765625" style="12" customWidth="1"/>
    <col min="14594" max="14594" width="82.86328125" style="12" customWidth="1"/>
    <col min="14595" max="14597" width="10.1328125" style="12" customWidth="1"/>
    <col min="14598" max="14847" width="9.1328125" style="12"/>
    <col min="14848" max="14848" width="5.3984375" style="12" customWidth="1"/>
    <col min="14849" max="14849" width="13.59765625" style="12" customWidth="1"/>
    <col min="14850" max="14850" width="82.86328125" style="12" customWidth="1"/>
    <col min="14851" max="14853" width="10.1328125" style="12" customWidth="1"/>
    <col min="14854" max="15103" width="9.1328125" style="12"/>
    <col min="15104" max="15104" width="5.3984375" style="12" customWidth="1"/>
    <col min="15105" max="15105" width="13.59765625" style="12" customWidth="1"/>
    <col min="15106" max="15106" width="82.86328125" style="12" customWidth="1"/>
    <col min="15107" max="15109" width="10.1328125" style="12" customWidth="1"/>
    <col min="15110" max="15359" width="9.1328125" style="12"/>
    <col min="15360" max="15360" width="5.3984375" style="12" customWidth="1"/>
    <col min="15361" max="15361" width="13.59765625" style="12" customWidth="1"/>
    <col min="15362" max="15362" width="82.86328125" style="12" customWidth="1"/>
    <col min="15363" max="15365" width="10.1328125" style="12" customWidth="1"/>
    <col min="15366" max="15615" width="9.1328125" style="12"/>
    <col min="15616" max="15616" width="5.3984375" style="12" customWidth="1"/>
    <col min="15617" max="15617" width="13.59765625" style="12" customWidth="1"/>
    <col min="15618" max="15618" width="82.86328125" style="12" customWidth="1"/>
    <col min="15619" max="15621" width="10.1328125" style="12" customWidth="1"/>
    <col min="15622" max="15871" width="9.1328125" style="12"/>
    <col min="15872" max="15872" width="5.3984375" style="12" customWidth="1"/>
    <col min="15873" max="15873" width="13.59765625" style="12" customWidth="1"/>
    <col min="15874" max="15874" width="82.86328125" style="12" customWidth="1"/>
    <col min="15875" max="15877" width="10.1328125" style="12" customWidth="1"/>
    <col min="15878" max="16127" width="9.1328125" style="12"/>
    <col min="16128" max="16128" width="5.3984375" style="12" customWidth="1"/>
    <col min="16129" max="16129" width="13.59765625" style="12" customWidth="1"/>
    <col min="16130" max="16130" width="82.86328125" style="12" customWidth="1"/>
    <col min="16131" max="16133" width="10.1328125" style="12" customWidth="1"/>
    <col min="16134" max="16384" width="9.1328125" style="12"/>
  </cols>
  <sheetData>
    <row r="1" spans="1:6" s="1" customFormat="1">
      <c r="F1" s="2"/>
    </row>
    <row r="2" spans="1:6" s="27" customFormat="1" ht="39" customHeight="1">
      <c r="B2" s="112" t="s">
        <v>125</v>
      </c>
      <c r="C2" s="112"/>
      <c r="D2" s="112"/>
      <c r="E2" s="112"/>
      <c r="F2" s="112"/>
    </row>
    <row r="3" spans="1:6" s="1" customFormat="1">
      <c r="A3" s="3"/>
      <c r="B3" s="123" t="s">
        <v>0</v>
      </c>
      <c r="C3" s="123"/>
      <c r="D3" s="123"/>
      <c r="E3" s="123"/>
      <c r="F3" s="123"/>
    </row>
    <row r="4" spans="1:6" s="1" customFormat="1">
      <c r="C4" s="4"/>
      <c r="D4" s="4"/>
      <c r="E4" s="4"/>
      <c r="F4" s="4"/>
    </row>
    <row r="5" spans="1:6" s="1" customFormat="1" ht="15">
      <c r="A5" s="5"/>
      <c r="B5" s="5"/>
      <c r="C5" s="129" t="s">
        <v>44</v>
      </c>
      <c r="D5" s="129"/>
      <c r="E5" s="129"/>
      <c r="F5" s="14"/>
    </row>
    <row r="6" spans="1:6" s="1" customFormat="1">
      <c r="A6" s="3"/>
      <c r="B6" s="124" t="s">
        <v>1</v>
      </c>
      <c r="C6" s="124"/>
      <c r="D6" s="124"/>
      <c r="E6" s="124"/>
      <c r="F6" s="124"/>
    </row>
    <row r="7" spans="1:6" s="1" customFormat="1">
      <c r="D7" s="4"/>
      <c r="F7" s="6" t="s">
        <v>2</v>
      </c>
    </row>
    <row r="8" spans="1:6" s="1" customFormat="1" ht="15">
      <c r="A8" s="15"/>
      <c r="B8" s="15"/>
      <c r="C8" s="13" t="s">
        <v>124</v>
      </c>
      <c r="D8" s="15"/>
      <c r="E8" s="15"/>
      <c r="F8" s="15"/>
    </row>
    <row r="9" spans="1:6" s="7" customFormat="1" ht="12.75" customHeight="1">
      <c r="A9" s="125" t="s">
        <v>3</v>
      </c>
      <c r="B9" s="125" t="s">
        <v>4</v>
      </c>
      <c r="C9" s="125" t="s">
        <v>5</v>
      </c>
      <c r="D9" s="125" t="s">
        <v>6</v>
      </c>
      <c r="E9" s="127" t="s">
        <v>7</v>
      </c>
      <c r="F9" s="128"/>
    </row>
    <row r="10" spans="1:6" s="7" customFormat="1" ht="34.5" customHeight="1">
      <c r="A10" s="126"/>
      <c r="B10" s="126"/>
      <c r="C10" s="126"/>
      <c r="D10" s="126"/>
      <c r="E10" s="8" t="s">
        <v>8</v>
      </c>
      <c r="F10" s="8" t="s">
        <v>9</v>
      </c>
    </row>
    <row r="11" spans="1:6" s="11" customFormat="1">
      <c r="A11" s="9">
        <v>1</v>
      </c>
      <c r="B11" s="10">
        <v>2</v>
      </c>
      <c r="C11" s="10">
        <v>3</v>
      </c>
      <c r="D11" s="10">
        <v>4</v>
      </c>
      <c r="E11" s="10">
        <v>5</v>
      </c>
      <c r="F11" s="10">
        <v>6</v>
      </c>
    </row>
    <row r="12" spans="1:6">
      <c r="A12" s="71"/>
      <c r="B12" s="72"/>
      <c r="C12" s="136" t="s">
        <v>58</v>
      </c>
      <c r="D12" s="136"/>
      <c r="E12" s="72"/>
      <c r="F12" s="73"/>
    </row>
    <row r="13" spans="1:6">
      <c r="A13" s="74" t="s">
        <v>59</v>
      </c>
      <c r="B13" s="75" t="s">
        <v>60</v>
      </c>
      <c r="C13" s="75" t="s">
        <v>61</v>
      </c>
      <c r="D13" s="76" t="s">
        <v>23</v>
      </c>
      <c r="E13" s="130">
        <v>282</v>
      </c>
      <c r="F13" s="131"/>
    </row>
    <row r="14" spans="1:6">
      <c r="A14" s="77"/>
      <c r="B14" s="78"/>
      <c r="C14" s="79" t="s">
        <v>11</v>
      </c>
      <c r="D14" s="78" t="s">
        <v>12</v>
      </c>
      <c r="E14" s="80">
        <v>1.68</v>
      </c>
      <c r="F14" s="80">
        <v>473.76</v>
      </c>
    </row>
    <row r="15" spans="1:6">
      <c r="A15" s="81"/>
      <c r="B15" s="82"/>
      <c r="C15" s="83" t="s">
        <v>19</v>
      </c>
      <c r="D15" s="82" t="s">
        <v>13</v>
      </c>
      <c r="E15" s="84">
        <v>0.16</v>
      </c>
      <c r="F15" s="84">
        <v>45.12</v>
      </c>
    </row>
    <row r="16" spans="1:6">
      <c r="A16" s="74" t="s">
        <v>62</v>
      </c>
      <c r="B16" s="75" t="s">
        <v>27</v>
      </c>
      <c r="C16" s="75" t="s">
        <v>63</v>
      </c>
      <c r="D16" s="76" t="s">
        <v>23</v>
      </c>
      <c r="E16" s="132">
        <v>272</v>
      </c>
      <c r="F16" s="133"/>
    </row>
    <row r="17" spans="1:6">
      <c r="A17" s="74" t="s">
        <v>64</v>
      </c>
      <c r="B17" s="75" t="s">
        <v>27</v>
      </c>
      <c r="C17" s="75" t="s">
        <v>65</v>
      </c>
      <c r="D17" s="76" t="s">
        <v>23</v>
      </c>
      <c r="E17" s="132">
        <v>10</v>
      </c>
      <c r="F17" s="133"/>
    </row>
    <row r="18" spans="1:6">
      <c r="A18" s="74" t="s">
        <v>66</v>
      </c>
      <c r="B18" s="75" t="s">
        <v>67</v>
      </c>
      <c r="C18" s="75" t="s">
        <v>68</v>
      </c>
      <c r="D18" s="76" t="s">
        <v>23</v>
      </c>
      <c r="E18" s="130">
        <v>10</v>
      </c>
      <c r="F18" s="131"/>
    </row>
    <row r="19" spans="1:6">
      <c r="A19" s="77"/>
      <c r="B19" s="78"/>
      <c r="C19" s="79" t="s">
        <v>11</v>
      </c>
      <c r="D19" s="78" t="s">
        <v>12</v>
      </c>
      <c r="E19" s="80">
        <v>7.92</v>
      </c>
      <c r="F19" s="80">
        <v>79.2</v>
      </c>
    </row>
    <row r="20" spans="1:6">
      <c r="A20" s="74" t="s">
        <v>69</v>
      </c>
      <c r="B20" s="75"/>
      <c r="C20" s="75" t="s">
        <v>70</v>
      </c>
      <c r="D20" s="76" t="s">
        <v>23</v>
      </c>
      <c r="E20" s="132">
        <v>10</v>
      </c>
      <c r="F20" s="133"/>
    </row>
    <row r="21" spans="1:6">
      <c r="A21" s="74" t="s">
        <v>71</v>
      </c>
      <c r="B21" s="75" t="s">
        <v>72</v>
      </c>
      <c r="C21" s="75" t="s">
        <v>73</v>
      </c>
      <c r="D21" s="76" t="s">
        <v>23</v>
      </c>
      <c r="E21" s="130">
        <v>10</v>
      </c>
      <c r="F21" s="131"/>
    </row>
    <row r="22" spans="1:6">
      <c r="A22" s="77"/>
      <c r="B22" s="78"/>
      <c r="C22" s="79" t="s">
        <v>11</v>
      </c>
      <c r="D22" s="78" t="s">
        <v>12</v>
      </c>
      <c r="E22" s="89">
        <v>4</v>
      </c>
      <c r="F22" s="89">
        <v>40</v>
      </c>
    </row>
    <row r="23" spans="1:6" ht="23.25">
      <c r="A23" s="85"/>
      <c r="B23" s="86"/>
      <c r="C23" s="87" t="s">
        <v>47</v>
      </c>
      <c r="D23" s="86" t="s">
        <v>42</v>
      </c>
      <c r="E23" s="88">
        <v>5.0000000000000001E-3</v>
      </c>
      <c r="F23" s="88">
        <v>0.05</v>
      </c>
    </row>
    <row r="24" spans="1:6">
      <c r="A24" s="74" t="s">
        <v>74</v>
      </c>
      <c r="B24" s="75"/>
      <c r="C24" s="75" t="s">
        <v>75</v>
      </c>
      <c r="D24" s="76" t="s">
        <v>23</v>
      </c>
      <c r="E24" s="132">
        <v>10</v>
      </c>
      <c r="F24" s="133"/>
    </row>
    <row r="25" spans="1:6">
      <c r="A25" s="74" t="s">
        <v>76</v>
      </c>
      <c r="B25" s="75" t="s">
        <v>77</v>
      </c>
      <c r="C25" s="75" t="s">
        <v>78</v>
      </c>
      <c r="D25" s="76" t="s">
        <v>23</v>
      </c>
      <c r="E25" s="130">
        <v>3</v>
      </c>
      <c r="F25" s="131"/>
    </row>
    <row r="26" spans="1:6">
      <c r="A26" s="77"/>
      <c r="B26" s="78"/>
      <c r="C26" s="79" t="s">
        <v>11</v>
      </c>
      <c r="D26" s="78" t="s">
        <v>12</v>
      </c>
      <c r="E26" s="80">
        <v>4.8</v>
      </c>
      <c r="F26" s="80">
        <v>14.4</v>
      </c>
    </row>
    <row r="27" spans="1:6">
      <c r="A27" s="81"/>
      <c r="B27" s="82"/>
      <c r="C27" s="83" t="s">
        <v>19</v>
      </c>
      <c r="D27" s="82" t="s">
        <v>13</v>
      </c>
      <c r="E27" s="84">
        <v>0.16</v>
      </c>
      <c r="F27" s="84">
        <v>0.48</v>
      </c>
    </row>
    <row r="28" spans="1:6">
      <c r="A28" s="85"/>
      <c r="B28" s="86"/>
      <c r="C28" s="87" t="s">
        <v>79</v>
      </c>
      <c r="D28" s="86" t="s">
        <v>45</v>
      </c>
      <c r="E28" s="88">
        <v>0.4</v>
      </c>
      <c r="F28" s="88">
        <v>1.2</v>
      </c>
    </row>
    <row r="29" spans="1:6">
      <c r="A29" s="74" t="s">
        <v>80</v>
      </c>
      <c r="B29" s="75"/>
      <c r="C29" s="75" t="s">
        <v>81</v>
      </c>
      <c r="D29" s="76" t="s">
        <v>23</v>
      </c>
      <c r="E29" s="132">
        <v>3</v>
      </c>
      <c r="F29" s="133"/>
    </row>
    <row r="30" spans="1:6">
      <c r="A30" s="74" t="s">
        <v>82</v>
      </c>
      <c r="B30" s="75" t="s">
        <v>83</v>
      </c>
      <c r="C30" s="75" t="s">
        <v>84</v>
      </c>
      <c r="D30" s="76" t="s">
        <v>23</v>
      </c>
      <c r="E30" s="130">
        <v>1</v>
      </c>
      <c r="F30" s="131"/>
    </row>
    <row r="31" spans="1:6">
      <c r="A31" s="77"/>
      <c r="B31" s="78"/>
      <c r="C31" s="79" t="s">
        <v>11</v>
      </c>
      <c r="D31" s="78" t="s">
        <v>12</v>
      </c>
      <c r="E31" s="80">
        <v>5.76</v>
      </c>
      <c r="F31" s="80">
        <v>5.76</v>
      </c>
    </row>
    <row r="32" spans="1:6">
      <c r="A32" s="81"/>
      <c r="B32" s="82"/>
      <c r="C32" s="83" t="s">
        <v>19</v>
      </c>
      <c r="D32" s="82" t="s">
        <v>13</v>
      </c>
      <c r="E32" s="84">
        <v>0.17399999999999999</v>
      </c>
      <c r="F32" s="84">
        <v>0.17399999999999999</v>
      </c>
    </row>
    <row r="33" spans="1:6">
      <c r="A33" s="85"/>
      <c r="B33" s="86"/>
      <c r="C33" s="87" t="s">
        <v>43</v>
      </c>
      <c r="D33" s="86" t="s">
        <v>14</v>
      </c>
      <c r="E33" s="88">
        <v>2.0000000000000002E-5</v>
      </c>
      <c r="F33" s="88">
        <v>2.0000000000000002E-5</v>
      </c>
    </row>
    <row r="34" spans="1:6">
      <c r="A34" s="90"/>
      <c r="B34" s="91"/>
      <c r="C34" s="92" t="s">
        <v>79</v>
      </c>
      <c r="D34" s="91" t="s">
        <v>45</v>
      </c>
      <c r="E34" s="93">
        <v>0.4</v>
      </c>
      <c r="F34" s="93">
        <v>0.4</v>
      </c>
    </row>
    <row r="35" spans="1:6">
      <c r="A35" s="74" t="s">
        <v>85</v>
      </c>
      <c r="B35" s="75"/>
      <c r="C35" s="75" t="s">
        <v>86</v>
      </c>
      <c r="D35" s="76" t="s">
        <v>23</v>
      </c>
      <c r="E35" s="132">
        <v>1</v>
      </c>
      <c r="F35" s="133"/>
    </row>
    <row r="36" spans="1:6">
      <c r="A36" s="74" t="s">
        <v>87</v>
      </c>
      <c r="B36" s="75" t="s">
        <v>88</v>
      </c>
      <c r="C36" s="75" t="s">
        <v>89</v>
      </c>
      <c r="D36" s="76" t="s">
        <v>23</v>
      </c>
      <c r="E36" s="130">
        <v>12</v>
      </c>
      <c r="F36" s="131"/>
    </row>
    <row r="37" spans="1:6">
      <c r="A37" s="77"/>
      <c r="B37" s="78"/>
      <c r="C37" s="79" t="s">
        <v>11</v>
      </c>
      <c r="D37" s="78" t="s">
        <v>12</v>
      </c>
      <c r="E37" s="80">
        <v>2.06</v>
      </c>
      <c r="F37" s="80">
        <v>24.72</v>
      </c>
    </row>
    <row r="38" spans="1:6">
      <c r="A38" s="74" t="s">
        <v>90</v>
      </c>
      <c r="B38" s="75"/>
      <c r="C38" s="75" t="s">
        <v>91</v>
      </c>
      <c r="D38" s="76" t="s">
        <v>23</v>
      </c>
      <c r="E38" s="132">
        <v>2</v>
      </c>
      <c r="F38" s="133"/>
    </row>
    <row r="39" spans="1:6">
      <c r="A39" s="74" t="s">
        <v>92</v>
      </c>
      <c r="B39" s="75" t="s">
        <v>72</v>
      </c>
      <c r="C39" s="75" t="s">
        <v>73</v>
      </c>
      <c r="D39" s="76" t="s">
        <v>23</v>
      </c>
      <c r="E39" s="130">
        <v>1</v>
      </c>
      <c r="F39" s="131"/>
    </row>
    <row r="40" spans="1:6">
      <c r="A40" s="77"/>
      <c r="B40" s="78"/>
      <c r="C40" s="79" t="s">
        <v>11</v>
      </c>
      <c r="D40" s="78" t="s">
        <v>12</v>
      </c>
      <c r="E40" s="89">
        <v>4</v>
      </c>
      <c r="F40" s="89">
        <v>4</v>
      </c>
    </row>
    <row r="41" spans="1:6" ht="23.25">
      <c r="A41" s="85"/>
      <c r="B41" s="86"/>
      <c r="C41" s="87" t="s">
        <v>47</v>
      </c>
      <c r="D41" s="86" t="s">
        <v>42</v>
      </c>
      <c r="E41" s="88">
        <v>5.0000000000000001E-3</v>
      </c>
      <c r="F41" s="88">
        <v>5.0000000000000001E-3</v>
      </c>
    </row>
    <row r="42" spans="1:6">
      <c r="A42" s="74" t="s">
        <v>93</v>
      </c>
      <c r="B42" s="75"/>
      <c r="C42" s="75" t="s">
        <v>94</v>
      </c>
      <c r="D42" s="76" t="s">
        <v>23</v>
      </c>
      <c r="E42" s="132">
        <v>1</v>
      </c>
      <c r="F42" s="133"/>
    </row>
    <row r="43" spans="1:6">
      <c r="A43" s="74" t="s">
        <v>95</v>
      </c>
      <c r="B43" s="75" t="s">
        <v>67</v>
      </c>
      <c r="C43" s="75" t="s">
        <v>68</v>
      </c>
      <c r="D43" s="76" t="s">
        <v>23</v>
      </c>
      <c r="E43" s="130">
        <v>10</v>
      </c>
      <c r="F43" s="131"/>
    </row>
    <row r="44" spans="1:6">
      <c r="A44" s="77"/>
      <c r="B44" s="78"/>
      <c r="C44" s="79" t="s">
        <v>11</v>
      </c>
      <c r="D44" s="78" t="s">
        <v>12</v>
      </c>
      <c r="E44" s="80">
        <v>7.92</v>
      </c>
      <c r="F44" s="80">
        <v>79.2</v>
      </c>
    </row>
    <row r="45" spans="1:6">
      <c r="A45" s="74" t="s">
        <v>96</v>
      </c>
      <c r="B45" s="75"/>
      <c r="C45" s="75" t="s">
        <v>97</v>
      </c>
      <c r="D45" s="76" t="s">
        <v>23</v>
      </c>
      <c r="E45" s="132">
        <v>10</v>
      </c>
      <c r="F45" s="133"/>
    </row>
    <row r="46" spans="1:6" ht="23.25">
      <c r="A46" s="74" t="s">
        <v>98</v>
      </c>
      <c r="B46" s="75" t="s">
        <v>99</v>
      </c>
      <c r="C46" s="75" t="s">
        <v>100</v>
      </c>
      <c r="D46" s="76" t="s">
        <v>46</v>
      </c>
      <c r="E46" s="134">
        <v>24.2</v>
      </c>
      <c r="F46" s="135"/>
    </row>
    <row r="47" spans="1:6">
      <c r="A47" s="77"/>
      <c r="B47" s="78"/>
      <c r="C47" s="79" t="s">
        <v>11</v>
      </c>
      <c r="D47" s="78" t="s">
        <v>12</v>
      </c>
      <c r="E47" s="80">
        <v>16.8</v>
      </c>
      <c r="F47" s="80">
        <v>406.56</v>
      </c>
    </row>
    <row r="48" spans="1:6">
      <c r="A48" s="85"/>
      <c r="B48" s="86"/>
      <c r="C48" s="87" t="s">
        <v>43</v>
      </c>
      <c r="D48" s="86" t="s">
        <v>14</v>
      </c>
      <c r="E48" s="88">
        <v>5.5000000000000003E-4</v>
      </c>
      <c r="F48" s="88">
        <v>1.3310000000000001E-2</v>
      </c>
    </row>
    <row r="49" spans="1:6">
      <c r="A49" s="90"/>
      <c r="B49" s="91"/>
      <c r="C49" s="92" t="s">
        <v>101</v>
      </c>
      <c r="D49" s="91" t="s">
        <v>14</v>
      </c>
      <c r="E49" s="93">
        <v>1.39E-3</v>
      </c>
      <c r="F49" s="93">
        <v>3.3638000000000001E-2</v>
      </c>
    </row>
    <row r="50" spans="1:6">
      <c r="A50" s="90"/>
      <c r="B50" s="91"/>
      <c r="C50" s="92" t="s">
        <v>79</v>
      </c>
      <c r="D50" s="91" t="s">
        <v>45</v>
      </c>
      <c r="E50" s="93">
        <v>36.9</v>
      </c>
      <c r="F50" s="93">
        <v>892.98</v>
      </c>
    </row>
    <row r="51" spans="1:6">
      <c r="A51" s="74" t="s">
        <v>102</v>
      </c>
      <c r="B51" s="75" t="s">
        <v>27</v>
      </c>
      <c r="C51" s="75" t="s">
        <v>103</v>
      </c>
      <c r="D51" s="76" t="s">
        <v>24</v>
      </c>
      <c r="E51" s="132">
        <v>2300</v>
      </c>
      <c r="F51" s="133"/>
    </row>
    <row r="52" spans="1:6">
      <c r="A52" s="74" t="s">
        <v>104</v>
      </c>
      <c r="B52" s="75" t="s">
        <v>27</v>
      </c>
      <c r="C52" s="75" t="s">
        <v>105</v>
      </c>
      <c r="D52" s="76" t="s">
        <v>24</v>
      </c>
      <c r="E52" s="132">
        <v>100</v>
      </c>
      <c r="F52" s="133"/>
    </row>
    <row r="53" spans="1:6">
      <c r="A53" s="74" t="s">
        <v>106</v>
      </c>
      <c r="B53" s="75" t="s">
        <v>27</v>
      </c>
      <c r="C53" s="75" t="s">
        <v>107</v>
      </c>
      <c r="D53" s="76" t="s">
        <v>24</v>
      </c>
      <c r="E53" s="132">
        <v>20</v>
      </c>
      <c r="F53" s="133"/>
    </row>
    <row r="54" spans="1:6">
      <c r="A54" s="74" t="s">
        <v>108</v>
      </c>
      <c r="B54" s="75" t="s">
        <v>27</v>
      </c>
      <c r="C54" s="75" t="s">
        <v>48</v>
      </c>
      <c r="D54" s="76" t="s">
        <v>24</v>
      </c>
      <c r="E54" s="132">
        <v>2300</v>
      </c>
      <c r="F54" s="133"/>
    </row>
    <row r="55" spans="1:6">
      <c r="A55" s="74" t="s">
        <v>109</v>
      </c>
      <c r="B55" s="75" t="s">
        <v>72</v>
      </c>
      <c r="C55" s="75" t="s">
        <v>73</v>
      </c>
      <c r="D55" s="76" t="s">
        <v>23</v>
      </c>
      <c r="E55" s="130">
        <v>10</v>
      </c>
      <c r="F55" s="131"/>
    </row>
    <row r="56" spans="1:6">
      <c r="A56" s="77"/>
      <c r="B56" s="78"/>
      <c r="C56" s="79" t="s">
        <v>11</v>
      </c>
      <c r="D56" s="78" t="s">
        <v>12</v>
      </c>
      <c r="E56" s="89">
        <v>4</v>
      </c>
      <c r="F56" s="89">
        <v>40</v>
      </c>
    </row>
    <row r="57" spans="1:6" ht="23.25">
      <c r="A57" s="85"/>
      <c r="B57" s="86"/>
      <c r="C57" s="87" t="s">
        <v>47</v>
      </c>
      <c r="D57" s="86" t="s">
        <v>42</v>
      </c>
      <c r="E57" s="88">
        <v>5.0000000000000001E-3</v>
      </c>
      <c r="F57" s="88">
        <v>0.05</v>
      </c>
    </row>
    <row r="58" spans="1:6">
      <c r="A58" s="74" t="s">
        <v>110</v>
      </c>
      <c r="B58" s="75"/>
      <c r="C58" s="75" t="s">
        <v>111</v>
      </c>
      <c r="D58" s="76" t="s">
        <v>23</v>
      </c>
      <c r="E58" s="132">
        <v>10</v>
      </c>
      <c r="F58" s="133"/>
    </row>
    <row r="59" spans="1:6">
      <c r="A59" s="74" t="s">
        <v>112</v>
      </c>
      <c r="B59" s="75" t="s">
        <v>27</v>
      </c>
      <c r="C59" s="75" t="s">
        <v>113</v>
      </c>
      <c r="D59" s="76" t="s">
        <v>24</v>
      </c>
      <c r="E59" s="132">
        <v>50</v>
      </c>
      <c r="F59" s="133"/>
    </row>
    <row r="60" spans="1:6">
      <c r="A60" s="74" t="s">
        <v>114</v>
      </c>
      <c r="B60" s="75" t="s">
        <v>115</v>
      </c>
      <c r="C60" s="75" t="s">
        <v>116</v>
      </c>
      <c r="D60" s="76" t="s">
        <v>23</v>
      </c>
      <c r="E60" s="130">
        <v>3</v>
      </c>
      <c r="F60" s="131"/>
    </row>
    <row r="61" spans="1:6">
      <c r="A61" s="77"/>
      <c r="B61" s="78"/>
      <c r="C61" s="79" t="s">
        <v>11</v>
      </c>
      <c r="D61" s="78" t="s">
        <v>12</v>
      </c>
      <c r="E61" s="89">
        <v>6</v>
      </c>
      <c r="F61" s="89">
        <v>18</v>
      </c>
    </row>
    <row r="62" spans="1:6">
      <c r="A62" s="85"/>
      <c r="B62" s="86"/>
      <c r="C62" s="87" t="s">
        <v>117</v>
      </c>
      <c r="D62" s="86" t="s">
        <v>14</v>
      </c>
      <c r="E62" s="88">
        <v>4.0000000000000002E-4</v>
      </c>
      <c r="F62" s="88">
        <v>1.1999999999999999E-3</v>
      </c>
    </row>
    <row r="63" spans="1:6" ht="23.25">
      <c r="A63" s="90"/>
      <c r="B63" s="91"/>
      <c r="C63" s="92" t="s">
        <v>47</v>
      </c>
      <c r="D63" s="91" t="s">
        <v>42</v>
      </c>
      <c r="E63" s="93">
        <v>0.05</v>
      </c>
      <c r="F63" s="93">
        <v>0.15</v>
      </c>
    </row>
    <row r="64" spans="1:6">
      <c r="A64" s="74" t="s">
        <v>118</v>
      </c>
      <c r="B64" s="75"/>
      <c r="C64" s="75" t="s">
        <v>119</v>
      </c>
      <c r="D64" s="76" t="s">
        <v>23</v>
      </c>
      <c r="E64" s="132">
        <v>3</v>
      </c>
      <c r="F64" s="133"/>
    </row>
    <row r="65" spans="1:6">
      <c r="A65" s="74" t="s">
        <v>120</v>
      </c>
      <c r="B65" s="75" t="s">
        <v>121</v>
      </c>
      <c r="C65" s="75" t="s">
        <v>78</v>
      </c>
      <c r="D65" s="76" t="s">
        <v>23</v>
      </c>
      <c r="E65" s="130">
        <v>1</v>
      </c>
      <c r="F65" s="131"/>
    </row>
    <row r="66" spans="1:6">
      <c r="A66" s="77"/>
      <c r="B66" s="78"/>
      <c r="C66" s="79" t="s">
        <v>11</v>
      </c>
      <c r="D66" s="78" t="s">
        <v>12</v>
      </c>
      <c r="E66" s="80">
        <v>4.8</v>
      </c>
      <c r="F66" s="80">
        <v>4.8</v>
      </c>
    </row>
    <row r="67" spans="1:6">
      <c r="A67" s="81"/>
      <c r="B67" s="82"/>
      <c r="C67" s="83" t="s">
        <v>19</v>
      </c>
      <c r="D67" s="82" t="s">
        <v>13</v>
      </c>
      <c r="E67" s="84">
        <v>0.16</v>
      </c>
      <c r="F67" s="84">
        <v>0.16</v>
      </c>
    </row>
    <row r="68" spans="1:6">
      <c r="A68" s="85"/>
      <c r="B68" s="86"/>
      <c r="C68" s="87" t="s">
        <v>79</v>
      </c>
      <c r="D68" s="86" t="s">
        <v>45</v>
      </c>
      <c r="E68" s="88">
        <v>0.4</v>
      </c>
      <c r="F68" s="88">
        <v>0.4</v>
      </c>
    </row>
    <row r="69" spans="1:6">
      <c r="A69" s="74" t="s">
        <v>122</v>
      </c>
      <c r="B69" s="75"/>
      <c r="C69" s="75" t="s">
        <v>123</v>
      </c>
      <c r="D69" s="76" t="s">
        <v>23</v>
      </c>
      <c r="E69" s="132">
        <v>1</v>
      </c>
      <c r="F69" s="133"/>
    </row>
  </sheetData>
  <autoFilter ref="A1:F11" xr:uid="{CEEAA74A-B81B-41B0-B88F-06DF3EA2A4DF}"/>
  <mergeCells count="39">
    <mergeCell ref="E59:F59"/>
    <mergeCell ref="E60:F60"/>
    <mergeCell ref="E64:F64"/>
    <mergeCell ref="C12:D12"/>
    <mergeCell ref="E13:F13"/>
    <mergeCell ref="E16:F16"/>
    <mergeCell ref="E17:F17"/>
    <mergeCell ref="E18:F18"/>
    <mergeCell ref="E20:F20"/>
    <mergeCell ref="E35:F35"/>
    <mergeCell ref="E65:F65"/>
    <mergeCell ref="E69:F69"/>
    <mergeCell ref="E46:F46"/>
    <mergeCell ref="E51:F51"/>
    <mergeCell ref="E52:F52"/>
    <mergeCell ref="E53:F53"/>
    <mergeCell ref="E54:F54"/>
    <mergeCell ref="E55:F55"/>
    <mergeCell ref="E36:F36"/>
    <mergeCell ref="E38:F38"/>
    <mergeCell ref="E39:F39"/>
    <mergeCell ref="E42:F42"/>
    <mergeCell ref="E43:F43"/>
    <mergeCell ref="E45:F45"/>
    <mergeCell ref="E58:F58"/>
    <mergeCell ref="E21:F21"/>
    <mergeCell ref="E24:F24"/>
    <mergeCell ref="E25:F25"/>
    <mergeCell ref="E29:F29"/>
    <mergeCell ref="E30:F30"/>
    <mergeCell ref="B2:F2"/>
    <mergeCell ref="B3:F3"/>
    <mergeCell ref="B6:F6"/>
    <mergeCell ref="A9:A10"/>
    <mergeCell ref="B9:B10"/>
    <mergeCell ref="C9:C10"/>
    <mergeCell ref="D9:D10"/>
    <mergeCell ref="E9:F9"/>
    <mergeCell ref="C5:E5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72" fitToHeight="1000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70FD-91D7-4C26-B256-5BE1452C535A}">
  <sheetPr>
    <pageSetUpPr fitToPage="1"/>
  </sheetPr>
  <dimension ref="A1:F41"/>
  <sheetViews>
    <sheetView showGridLines="0" view="pageBreakPreview" topLeftCell="A3" zoomScaleNormal="100" zoomScaleSheetLayoutView="100" workbookViewId="0">
      <selection activeCell="C17" sqref="C17"/>
    </sheetView>
  </sheetViews>
  <sheetFormatPr defaultRowHeight="13.15"/>
  <cols>
    <col min="1" max="1" width="5.3984375" style="12" customWidth="1"/>
    <col min="2" max="2" width="13.59765625" style="12" hidden="1" customWidth="1"/>
    <col min="3" max="3" width="96.796875" style="12" customWidth="1"/>
    <col min="4" max="6" width="10.1328125" style="12" customWidth="1"/>
    <col min="7" max="255" width="9.06640625" style="12"/>
    <col min="256" max="256" width="5.3984375" style="12" customWidth="1"/>
    <col min="257" max="257" width="13.59765625" style="12" customWidth="1"/>
    <col min="258" max="258" width="82.86328125" style="12" customWidth="1"/>
    <col min="259" max="261" width="10.1328125" style="12" customWidth="1"/>
    <col min="262" max="511" width="9.06640625" style="12"/>
    <col min="512" max="512" width="5.3984375" style="12" customWidth="1"/>
    <col min="513" max="513" width="13.59765625" style="12" customWidth="1"/>
    <col min="514" max="514" width="82.86328125" style="12" customWidth="1"/>
    <col min="515" max="517" width="10.1328125" style="12" customWidth="1"/>
    <col min="518" max="767" width="9.06640625" style="12"/>
    <col min="768" max="768" width="5.3984375" style="12" customWidth="1"/>
    <col min="769" max="769" width="13.59765625" style="12" customWidth="1"/>
    <col min="770" max="770" width="82.86328125" style="12" customWidth="1"/>
    <col min="771" max="773" width="10.1328125" style="12" customWidth="1"/>
    <col min="774" max="1023" width="9.06640625" style="12"/>
    <col min="1024" max="1024" width="5.3984375" style="12" customWidth="1"/>
    <col min="1025" max="1025" width="13.59765625" style="12" customWidth="1"/>
    <col min="1026" max="1026" width="82.86328125" style="12" customWidth="1"/>
    <col min="1027" max="1029" width="10.1328125" style="12" customWidth="1"/>
    <col min="1030" max="1279" width="9.06640625" style="12"/>
    <col min="1280" max="1280" width="5.3984375" style="12" customWidth="1"/>
    <col min="1281" max="1281" width="13.59765625" style="12" customWidth="1"/>
    <col min="1282" max="1282" width="82.86328125" style="12" customWidth="1"/>
    <col min="1283" max="1285" width="10.1328125" style="12" customWidth="1"/>
    <col min="1286" max="1535" width="9.06640625" style="12"/>
    <col min="1536" max="1536" width="5.3984375" style="12" customWidth="1"/>
    <col min="1537" max="1537" width="13.59765625" style="12" customWidth="1"/>
    <col min="1538" max="1538" width="82.86328125" style="12" customWidth="1"/>
    <col min="1539" max="1541" width="10.1328125" style="12" customWidth="1"/>
    <col min="1542" max="1791" width="9.06640625" style="12"/>
    <col min="1792" max="1792" width="5.3984375" style="12" customWidth="1"/>
    <col min="1793" max="1793" width="13.59765625" style="12" customWidth="1"/>
    <col min="1794" max="1794" width="82.86328125" style="12" customWidth="1"/>
    <col min="1795" max="1797" width="10.1328125" style="12" customWidth="1"/>
    <col min="1798" max="2047" width="9.06640625" style="12"/>
    <col min="2048" max="2048" width="5.3984375" style="12" customWidth="1"/>
    <col min="2049" max="2049" width="13.59765625" style="12" customWidth="1"/>
    <col min="2050" max="2050" width="82.86328125" style="12" customWidth="1"/>
    <col min="2051" max="2053" width="10.1328125" style="12" customWidth="1"/>
    <col min="2054" max="2303" width="9.06640625" style="12"/>
    <col min="2304" max="2304" width="5.3984375" style="12" customWidth="1"/>
    <col min="2305" max="2305" width="13.59765625" style="12" customWidth="1"/>
    <col min="2306" max="2306" width="82.86328125" style="12" customWidth="1"/>
    <col min="2307" max="2309" width="10.1328125" style="12" customWidth="1"/>
    <col min="2310" max="2559" width="9.06640625" style="12"/>
    <col min="2560" max="2560" width="5.3984375" style="12" customWidth="1"/>
    <col min="2561" max="2561" width="13.59765625" style="12" customWidth="1"/>
    <col min="2562" max="2562" width="82.86328125" style="12" customWidth="1"/>
    <col min="2563" max="2565" width="10.1328125" style="12" customWidth="1"/>
    <col min="2566" max="2815" width="9.06640625" style="12"/>
    <col min="2816" max="2816" width="5.3984375" style="12" customWidth="1"/>
    <col min="2817" max="2817" width="13.59765625" style="12" customWidth="1"/>
    <col min="2818" max="2818" width="82.86328125" style="12" customWidth="1"/>
    <col min="2819" max="2821" width="10.1328125" style="12" customWidth="1"/>
    <col min="2822" max="3071" width="9.06640625" style="12"/>
    <col min="3072" max="3072" width="5.3984375" style="12" customWidth="1"/>
    <col min="3073" max="3073" width="13.59765625" style="12" customWidth="1"/>
    <col min="3074" max="3074" width="82.86328125" style="12" customWidth="1"/>
    <col min="3075" max="3077" width="10.1328125" style="12" customWidth="1"/>
    <col min="3078" max="3327" width="9.06640625" style="12"/>
    <col min="3328" max="3328" width="5.3984375" style="12" customWidth="1"/>
    <col min="3329" max="3329" width="13.59765625" style="12" customWidth="1"/>
    <col min="3330" max="3330" width="82.86328125" style="12" customWidth="1"/>
    <col min="3331" max="3333" width="10.1328125" style="12" customWidth="1"/>
    <col min="3334" max="3583" width="9.06640625" style="12"/>
    <col min="3584" max="3584" width="5.3984375" style="12" customWidth="1"/>
    <col min="3585" max="3585" width="13.59765625" style="12" customWidth="1"/>
    <col min="3586" max="3586" width="82.86328125" style="12" customWidth="1"/>
    <col min="3587" max="3589" width="10.1328125" style="12" customWidth="1"/>
    <col min="3590" max="3839" width="9.06640625" style="12"/>
    <col min="3840" max="3840" width="5.3984375" style="12" customWidth="1"/>
    <col min="3841" max="3841" width="13.59765625" style="12" customWidth="1"/>
    <col min="3842" max="3842" width="82.86328125" style="12" customWidth="1"/>
    <col min="3843" max="3845" width="10.1328125" style="12" customWidth="1"/>
    <col min="3846" max="4095" width="9.06640625" style="12"/>
    <col min="4096" max="4096" width="5.3984375" style="12" customWidth="1"/>
    <col min="4097" max="4097" width="13.59765625" style="12" customWidth="1"/>
    <col min="4098" max="4098" width="82.86328125" style="12" customWidth="1"/>
    <col min="4099" max="4101" width="10.1328125" style="12" customWidth="1"/>
    <col min="4102" max="4351" width="9.06640625" style="12"/>
    <col min="4352" max="4352" width="5.3984375" style="12" customWidth="1"/>
    <col min="4353" max="4353" width="13.59765625" style="12" customWidth="1"/>
    <col min="4354" max="4354" width="82.86328125" style="12" customWidth="1"/>
    <col min="4355" max="4357" width="10.1328125" style="12" customWidth="1"/>
    <col min="4358" max="4607" width="9.06640625" style="12"/>
    <col min="4608" max="4608" width="5.3984375" style="12" customWidth="1"/>
    <col min="4609" max="4609" width="13.59765625" style="12" customWidth="1"/>
    <col min="4610" max="4610" width="82.86328125" style="12" customWidth="1"/>
    <col min="4611" max="4613" width="10.1328125" style="12" customWidth="1"/>
    <col min="4614" max="4863" width="9.06640625" style="12"/>
    <col min="4864" max="4864" width="5.3984375" style="12" customWidth="1"/>
    <col min="4865" max="4865" width="13.59765625" style="12" customWidth="1"/>
    <col min="4866" max="4866" width="82.86328125" style="12" customWidth="1"/>
    <col min="4867" max="4869" width="10.1328125" style="12" customWidth="1"/>
    <col min="4870" max="5119" width="9.06640625" style="12"/>
    <col min="5120" max="5120" width="5.3984375" style="12" customWidth="1"/>
    <col min="5121" max="5121" width="13.59765625" style="12" customWidth="1"/>
    <col min="5122" max="5122" width="82.86328125" style="12" customWidth="1"/>
    <col min="5123" max="5125" width="10.1328125" style="12" customWidth="1"/>
    <col min="5126" max="5375" width="9.06640625" style="12"/>
    <col min="5376" max="5376" width="5.3984375" style="12" customWidth="1"/>
    <col min="5377" max="5377" width="13.59765625" style="12" customWidth="1"/>
    <col min="5378" max="5378" width="82.86328125" style="12" customWidth="1"/>
    <col min="5379" max="5381" width="10.1328125" style="12" customWidth="1"/>
    <col min="5382" max="5631" width="9.06640625" style="12"/>
    <col min="5632" max="5632" width="5.3984375" style="12" customWidth="1"/>
    <col min="5633" max="5633" width="13.59765625" style="12" customWidth="1"/>
    <col min="5634" max="5634" width="82.86328125" style="12" customWidth="1"/>
    <col min="5635" max="5637" width="10.1328125" style="12" customWidth="1"/>
    <col min="5638" max="5887" width="9.06640625" style="12"/>
    <col min="5888" max="5888" width="5.3984375" style="12" customWidth="1"/>
    <col min="5889" max="5889" width="13.59765625" style="12" customWidth="1"/>
    <col min="5890" max="5890" width="82.86328125" style="12" customWidth="1"/>
    <col min="5891" max="5893" width="10.1328125" style="12" customWidth="1"/>
    <col min="5894" max="6143" width="9.06640625" style="12"/>
    <col min="6144" max="6144" width="5.3984375" style="12" customWidth="1"/>
    <col min="6145" max="6145" width="13.59765625" style="12" customWidth="1"/>
    <col min="6146" max="6146" width="82.86328125" style="12" customWidth="1"/>
    <col min="6147" max="6149" width="10.1328125" style="12" customWidth="1"/>
    <col min="6150" max="6399" width="9.06640625" style="12"/>
    <col min="6400" max="6400" width="5.3984375" style="12" customWidth="1"/>
    <col min="6401" max="6401" width="13.59765625" style="12" customWidth="1"/>
    <col min="6402" max="6402" width="82.86328125" style="12" customWidth="1"/>
    <col min="6403" max="6405" width="10.1328125" style="12" customWidth="1"/>
    <col min="6406" max="6655" width="9.06640625" style="12"/>
    <col min="6656" max="6656" width="5.3984375" style="12" customWidth="1"/>
    <col min="6657" max="6657" width="13.59765625" style="12" customWidth="1"/>
    <col min="6658" max="6658" width="82.86328125" style="12" customWidth="1"/>
    <col min="6659" max="6661" width="10.1328125" style="12" customWidth="1"/>
    <col min="6662" max="6911" width="9.06640625" style="12"/>
    <col min="6912" max="6912" width="5.3984375" style="12" customWidth="1"/>
    <col min="6913" max="6913" width="13.59765625" style="12" customWidth="1"/>
    <col min="6914" max="6914" width="82.86328125" style="12" customWidth="1"/>
    <col min="6915" max="6917" width="10.1328125" style="12" customWidth="1"/>
    <col min="6918" max="7167" width="9.06640625" style="12"/>
    <col min="7168" max="7168" width="5.3984375" style="12" customWidth="1"/>
    <col min="7169" max="7169" width="13.59765625" style="12" customWidth="1"/>
    <col min="7170" max="7170" width="82.86328125" style="12" customWidth="1"/>
    <col min="7171" max="7173" width="10.1328125" style="12" customWidth="1"/>
    <col min="7174" max="7423" width="9.06640625" style="12"/>
    <col min="7424" max="7424" width="5.3984375" style="12" customWidth="1"/>
    <col min="7425" max="7425" width="13.59765625" style="12" customWidth="1"/>
    <col min="7426" max="7426" width="82.86328125" style="12" customWidth="1"/>
    <col min="7427" max="7429" width="10.1328125" style="12" customWidth="1"/>
    <col min="7430" max="7679" width="9.06640625" style="12"/>
    <col min="7680" max="7680" width="5.3984375" style="12" customWidth="1"/>
    <col min="7681" max="7681" width="13.59765625" style="12" customWidth="1"/>
    <col min="7682" max="7682" width="82.86328125" style="12" customWidth="1"/>
    <col min="7683" max="7685" width="10.1328125" style="12" customWidth="1"/>
    <col min="7686" max="7935" width="9.06640625" style="12"/>
    <col min="7936" max="7936" width="5.3984375" style="12" customWidth="1"/>
    <col min="7937" max="7937" width="13.59765625" style="12" customWidth="1"/>
    <col min="7938" max="7938" width="82.86328125" style="12" customWidth="1"/>
    <col min="7939" max="7941" width="10.1328125" style="12" customWidth="1"/>
    <col min="7942" max="8191" width="9.06640625" style="12"/>
    <col min="8192" max="8192" width="5.3984375" style="12" customWidth="1"/>
    <col min="8193" max="8193" width="13.59765625" style="12" customWidth="1"/>
    <col min="8194" max="8194" width="82.86328125" style="12" customWidth="1"/>
    <col min="8195" max="8197" width="10.1328125" style="12" customWidth="1"/>
    <col min="8198" max="8447" width="9.06640625" style="12"/>
    <col min="8448" max="8448" width="5.3984375" style="12" customWidth="1"/>
    <col min="8449" max="8449" width="13.59765625" style="12" customWidth="1"/>
    <col min="8450" max="8450" width="82.86328125" style="12" customWidth="1"/>
    <col min="8451" max="8453" width="10.1328125" style="12" customWidth="1"/>
    <col min="8454" max="8703" width="9.06640625" style="12"/>
    <col min="8704" max="8704" width="5.3984375" style="12" customWidth="1"/>
    <col min="8705" max="8705" width="13.59765625" style="12" customWidth="1"/>
    <col min="8706" max="8706" width="82.86328125" style="12" customWidth="1"/>
    <col min="8707" max="8709" width="10.1328125" style="12" customWidth="1"/>
    <col min="8710" max="8959" width="9.06640625" style="12"/>
    <col min="8960" max="8960" width="5.3984375" style="12" customWidth="1"/>
    <col min="8961" max="8961" width="13.59765625" style="12" customWidth="1"/>
    <col min="8962" max="8962" width="82.86328125" style="12" customWidth="1"/>
    <col min="8963" max="8965" width="10.1328125" style="12" customWidth="1"/>
    <col min="8966" max="9215" width="9.06640625" style="12"/>
    <col min="9216" max="9216" width="5.3984375" style="12" customWidth="1"/>
    <col min="9217" max="9217" width="13.59765625" style="12" customWidth="1"/>
    <col min="9218" max="9218" width="82.86328125" style="12" customWidth="1"/>
    <col min="9219" max="9221" width="10.1328125" style="12" customWidth="1"/>
    <col min="9222" max="9471" width="9.06640625" style="12"/>
    <col min="9472" max="9472" width="5.3984375" style="12" customWidth="1"/>
    <col min="9473" max="9473" width="13.59765625" style="12" customWidth="1"/>
    <col min="9474" max="9474" width="82.86328125" style="12" customWidth="1"/>
    <col min="9475" max="9477" width="10.1328125" style="12" customWidth="1"/>
    <col min="9478" max="9727" width="9.06640625" style="12"/>
    <col min="9728" max="9728" width="5.3984375" style="12" customWidth="1"/>
    <col min="9729" max="9729" width="13.59765625" style="12" customWidth="1"/>
    <col min="9730" max="9730" width="82.86328125" style="12" customWidth="1"/>
    <col min="9731" max="9733" width="10.1328125" style="12" customWidth="1"/>
    <col min="9734" max="9983" width="9.06640625" style="12"/>
    <col min="9984" max="9984" width="5.3984375" style="12" customWidth="1"/>
    <col min="9985" max="9985" width="13.59765625" style="12" customWidth="1"/>
    <col min="9986" max="9986" width="82.86328125" style="12" customWidth="1"/>
    <col min="9987" max="9989" width="10.1328125" style="12" customWidth="1"/>
    <col min="9990" max="10239" width="9.06640625" style="12"/>
    <col min="10240" max="10240" width="5.3984375" style="12" customWidth="1"/>
    <col min="10241" max="10241" width="13.59765625" style="12" customWidth="1"/>
    <col min="10242" max="10242" width="82.86328125" style="12" customWidth="1"/>
    <col min="10243" max="10245" width="10.1328125" style="12" customWidth="1"/>
    <col min="10246" max="10495" width="9.06640625" style="12"/>
    <col min="10496" max="10496" width="5.3984375" style="12" customWidth="1"/>
    <col min="10497" max="10497" width="13.59765625" style="12" customWidth="1"/>
    <col min="10498" max="10498" width="82.86328125" style="12" customWidth="1"/>
    <col min="10499" max="10501" width="10.1328125" style="12" customWidth="1"/>
    <col min="10502" max="10751" width="9.06640625" style="12"/>
    <col min="10752" max="10752" width="5.3984375" style="12" customWidth="1"/>
    <col min="10753" max="10753" width="13.59765625" style="12" customWidth="1"/>
    <col min="10754" max="10754" width="82.86328125" style="12" customWidth="1"/>
    <col min="10755" max="10757" width="10.1328125" style="12" customWidth="1"/>
    <col min="10758" max="11007" width="9.06640625" style="12"/>
    <col min="11008" max="11008" width="5.3984375" style="12" customWidth="1"/>
    <col min="11009" max="11009" width="13.59765625" style="12" customWidth="1"/>
    <col min="11010" max="11010" width="82.86328125" style="12" customWidth="1"/>
    <col min="11011" max="11013" width="10.1328125" style="12" customWidth="1"/>
    <col min="11014" max="11263" width="9.06640625" style="12"/>
    <col min="11264" max="11264" width="5.3984375" style="12" customWidth="1"/>
    <col min="11265" max="11265" width="13.59765625" style="12" customWidth="1"/>
    <col min="11266" max="11266" width="82.86328125" style="12" customWidth="1"/>
    <col min="11267" max="11269" width="10.1328125" style="12" customWidth="1"/>
    <col min="11270" max="11519" width="9.06640625" style="12"/>
    <col min="11520" max="11520" width="5.3984375" style="12" customWidth="1"/>
    <col min="11521" max="11521" width="13.59765625" style="12" customWidth="1"/>
    <col min="11522" max="11522" width="82.86328125" style="12" customWidth="1"/>
    <col min="11523" max="11525" width="10.1328125" style="12" customWidth="1"/>
    <col min="11526" max="11775" width="9.06640625" style="12"/>
    <col min="11776" max="11776" width="5.3984375" style="12" customWidth="1"/>
    <col min="11777" max="11777" width="13.59765625" style="12" customWidth="1"/>
    <col min="11778" max="11778" width="82.86328125" style="12" customWidth="1"/>
    <col min="11779" max="11781" width="10.1328125" style="12" customWidth="1"/>
    <col min="11782" max="12031" width="9.06640625" style="12"/>
    <col min="12032" max="12032" width="5.3984375" style="12" customWidth="1"/>
    <col min="12033" max="12033" width="13.59765625" style="12" customWidth="1"/>
    <col min="12034" max="12034" width="82.86328125" style="12" customWidth="1"/>
    <col min="12035" max="12037" width="10.1328125" style="12" customWidth="1"/>
    <col min="12038" max="12287" width="9.06640625" style="12"/>
    <col min="12288" max="12288" width="5.3984375" style="12" customWidth="1"/>
    <col min="12289" max="12289" width="13.59765625" style="12" customWidth="1"/>
    <col min="12290" max="12290" width="82.86328125" style="12" customWidth="1"/>
    <col min="12291" max="12293" width="10.1328125" style="12" customWidth="1"/>
    <col min="12294" max="12543" width="9.06640625" style="12"/>
    <col min="12544" max="12544" width="5.3984375" style="12" customWidth="1"/>
    <col min="12545" max="12545" width="13.59765625" style="12" customWidth="1"/>
    <col min="12546" max="12546" width="82.86328125" style="12" customWidth="1"/>
    <col min="12547" max="12549" width="10.1328125" style="12" customWidth="1"/>
    <col min="12550" max="12799" width="9.06640625" style="12"/>
    <col min="12800" max="12800" width="5.3984375" style="12" customWidth="1"/>
    <col min="12801" max="12801" width="13.59765625" style="12" customWidth="1"/>
    <col min="12802" max="12802" width="82.86328125" style="12" customWidth="1"/>
    <col min="12803" max="12805" width="10.1328125" style="12" customWidth="1"/>
    <col min="12806" max="13055" width="9.06640625" style="12"/>
    <col min="13056" max="13056" width="5.3984375" style="12" customWidth="1"/>
    <col min="13057" max="13057" width="13.59765625" style="12" customWidth="1"/>
    <col min="13058" max="13058" width="82.86328125" style="12" customWidth="1"/>
    <col min="13059" max="13061" width="10.1328125" style="12" customWidth="1"/>
    <col min="13062" max="13311" width="9.06640625" style="12"/>
    <col min="13312" max="13312" width="5.3984375" style="12" customWidth="1"/>
    <col min="13313" max="13313" width="13.59765625" style="12" customWidth="1"/>
    <col min="13314" max="13314" width="82.86328125" style="12" customWidth="1"/>
    <col min="13315" max="13317" width="10.1328125" style="12" customWidth="1"/>
    <col min="13318" max="13567" width="9.06640625" style="12"/>
    <col min="13568" max="13568" width="5.3984375" style="12" customWidth="1"/>
    <col min="13569" max="13569" width="13.59765625" style="12" customWidth="1"/>
    <col min="13570" max="13570" width="82.86328125" style="12" customWidth="1"/>
    <col min="13571" max="13573" width="10.1328125" style="12" customWidth="1"/>
    <col min="13574" max="13823" width="9.06640625" style="12"/>
    <col min="13824" max="13824" width="5.3984375" style="12" customWidth="1"/>
    <col min="13825" max="13825" width="13.59765625" style="12" customWidth="1"/>
    <col min="13826" max="13826" width="82.86328125" style="12" customWidth="1"/>
    <col min="13827" max="13829" width="10.1328125" style="12" customWidth="1"/>
    <col min="13830" max="14079" width="9.06640625" style="12"/>
    <col min="14080" max="14080" width="5.3984375" style="12" customWidth="1"/>
    <col min="14081" max="14081" width="13.59765625" style="12" customWidth="1"/>
    <col min="14082" max="14082" width="82.86328125" style="12" customWidth="1"/>
    <col min="14083" max="14085" width="10.1328125" style="12" customWidth="1"/>
    <col min="14086" max="14335" width="9.06640625" style="12"/>
    <col min="14336" max="14336" width="5.3984375" style="12" customWidth="1"/>
    <col min="14337" max="14337" width="13.59765625" style="12" customWidth="1"/>
    <col min="14338" max="14338" width="82.86328125" style="12" customWidth="1"/>
    <col min="14339" max="14341" width="10.1328125" style="12" customWidth="1"/>
    <col min="14342" max="14591" width="9.06640625" style="12"/>
    <col min="14592" max="14592" width="5.3984375" style="12" customWidth="1"/>
    <col min="14593" max="14593" width="13.59765625" style="12" customWidth="1"/>
    <col min="14594" max="14594" width="82.86328125" style="12" customWidth="1"/>
    <col min="14595" max="14597" width="10.1328125" style="12" customWidth="1"/>
    <col min="14598" max="14847" width="9.06640625" style="12"/>
    <col min="14848" max="14848" width="5.3984375" style="12" customWidth="1"/>
    <col min="14849" max="14849" width="13.59765625" style="12" customWidth="1"/>
    <col min="14850" max="14850" width="82.86328125" style="12" customWidth="1"/>
    <col min="14851" max="14853" width="10.1328125" style="12" customWidth="1"/>
    <col min="14854" max="15103" width="9.06640625" style="12"/>
    <col min="15104" max="15104" width="5.3984375" style="12" customWidth="1"/>
    <col min="15105" max="15105" width="13.59765625" style="12" customWidth="1"/>
    <col min="15106" max="15106" width="82.86328125" style="12" customWidth="1"/>
    <col min="15107" max="15109" width="10.1328125" style="12" customWidth="1"/>
    <col min="15110" max="15359" width="9.06640625" style="12"/>
    <col min="15360" max="15360" width="5.3984375" style="12" customWidth="1"/>
    <col min="15361" max="15361" width="13.59765625" style="12" customWidth="1"/>
    <col min="15362" max="15362" width="82.86328125" style="12" customWidth="1"/>
    <col min="15363" max="15365" width="10.1328125" style="12" customWidth="1"/>
    <col min="15366" max="15615" width="9.06640625" style="12"/>
    <col min="15616" max="15616" width="5.3984375" style="12" customWidth="1"/>
    <col min="15617" max="15617" width="13.59765625" style="12" customWidth="1"/>
    <col min="15618" max="15618" width="82.86328125" style="12" customWidth="1"/>
    <col min="15619" max="15621" width="10.1328125" style="12" customWidth="1"/>
    <col min="15622" max="15871" width="9.06640625" style="12"/>
    <col min="15872" max="15872" width="5.3984375" style="12" customWidth="1"/>
    <col min="15873" max="15873" width="13.59765625" style="12" customWidth="1"/>
    <col min="15874" max="15874" width="82.86328125" style="12" customWidth="1"/>
    <col min="15875" max="15877" width="10.1328125" style="12" customWidth="1"/>
    <col min="15878" max="16127" width="9.06640625" style="12"/>
    <col min="16128" max="16128" width="5.3984375" style="12" customWidth="1"/>
    <col min="16129" max="16129" width="13.59765625" style="12" customWidth="1"/>
    <col min="16130" max="16130" width="82.86328125" style="12" customWidth="1"/>
    <col min="16131" max="16133" width="10.1328125" style="12" customWidth="1"/>
    <col min="16134" max="16384" width="9.06640625" style="12"/>
  </cols>
  <sheetData>
    <row r="1" spans="1:6" s="27" customFormat="1">
      <c r="F1" s="2"/>
    </row>
    <row r="2" spans="1:6" s="27" customFormat="1" ht="39" customHeight="1">
      <c r="B2" s="112" t="s">
        <v>125</v>
      </c>
      <c r="C2" s="112"/>
      <c r="D2" s="112"/>
      <c r="E2" s="112"/>
      <c r="F2" s="112"/>
    </row>
    <row r="3" spans="1:6" s="27" customFormat="1">
      <c r="A3" s="3"/>
      <c r="B3" s="123" t="s">
        <v>0</v>
      </c>
      <c r="C3" s="123"/>
      <c r="D3" s="123"/>
      <c r="E3" s="123"/>
      <c r="F3" s="123"/>
    </row>
    <row r="4" spans="1:6" s="27" customFormat="1">
      <c r="C4" s="4"/>
      <c r="D4" s="4"/>
      <c r="E4" s="4"/>
      <c r="F4" s="4"/>
    </row>
    <row r="5" spans="1:6" s="27" customFormat="1" ht="15">
      <c r="A5" s="5"/>
      <c r="B5" s="5"/>
      <c r="C5" s="129" t="s">
        <v>44</v>
      </c>
      <c r="D5" s="129"/>
      <c r="E5" s="129"/>
      <c r="F5" s="14"/>
    </row>
    <row r="6" spans="1:6" s="27" customFormat="1">
      <c r="A6" s="3"/>
      <c r="B6" s="124" t="s">
        <v>1</v>
      </c>
      <c r="C6" s="124"/>
      <c r="D6" s="124"/>
      <c r="E6" s="124"/>
      <c r="F6" s="124"/>
    </row>
    <row r="7" spans="1:6" s="27" customFormat="1">
      <c r="D7" s="4"/>
      <c r="F7" s="6" t="s">
        <v>2</v>
      </c>
    </row>
    <row r="8" spans="1:6" s="27" customFormat="1" ht="15">
      <c r="A8" s="15"/>
      <c r="B8" s="15"/>
      <c r="C8" s="13" t="s">
        <v>124</v>
      </c>
      <c r="D8" s="15"/>
      <c r="E8" s="15"/>
      <c r="F8" s="15"/>
    </row>
    <row r="9" spans="1:6" s="28" customFormat="1" ht="12.75" customHeight="1">
      <c r="A9" s="125" t="s">
        <v>3</v>
      </c>
      <c r="B9" s="125" t="s">
        <v>4</v>
      </c>
      <c r="C9" s="125" t="s">
        <v>5</v>
      </c>
      <c r="D9" s="125" t="s">
        <v>6</v>
      </c>
      <c r="E9" s="127" t="s">
        <v>7</v>
      </c>
      <c r="F9" s="128"/>
    </row>
    <row r="10" spans="1:6" s="28" customFormat="1" ht="34.5" customHeight="1">
      <c r="A10" s="126"/>
      <c r="B10" s="126"/>
      <c r="C10" s="126"/>
      <c r="D10" s="126"/>
      <c r="E10" s="8" t="s">
        <v>8</v>
      </c>
      <c r="F10" s="8" t="s">
        <v>9</v>
      </c>
    </row>
    <row r="11" spans="1:6" s="29" customFormat="1">
      <c r="A11" s="9">
        <v>1</v>
      </c>
      <c r="B11" s="10">
        <v>2</v>
      </c>
      <c r="C11" s="10">
        <v>3</v>
      </c>
      <c r="D11" s="10">
        <v>4</v>
      </c>
      <c r="E11" s="10">
        <v>5</v>
      </c>
      <c r="F11" s="10">
        <v>6</v>
      </c>
    </row>
    <row r="12" spans="1:6">
      <c r="A12" s="71"/>
      <c r="B12" s="72"/>
      <c r="C12" s="136" t="s">
        <v>58</v>
      </c>
      <c r="D12" s="136"/>
      <c r="E12" s="72"/>
      <c r="F12" s="108"/>
    </row>
    <row r="13" spans="1:6">
      <c r="A13" s="74" t="s">
        <v>59</v>
      </c>
      <c r="B13" s="75" t="s">
        <v>60</v>
      </c>
      <c r="C13" s="137" t="s">
        <v>61</v>
      </c>
      <c r="D13" s="138" t="s">
        <v>23</v>
      </c>
      <c r="E13" s="130">
        <v>282</v>
      </c>
      <c r="F13" s="131"/>
    </row>
    <row r="14" spans="1:6">
      <c r="A14" s="74" t="s">
        <v>62</v>
      </c>
      <c r="B14" s="75" t="s">
        <v>27</v>
      </c>
      <c r="C14" s="137" t="s">
        <v>63</v>
      </c>
      <c r="D14" s="138" t="s">
        <v>23</v>
      </c>
      <c r="E14" s="132">
        <v>272</v>
      </c>
      <c r="F14" s="133"/>
    </row>
    <row r="15" spans="1:6">
      <c r="A15" s="74" t="s">
        <v>64</v>
      </c>
      <c r="B15" s="75" t="s">
        <v>27</v>
      </c>
      <c r="C15" s="137" t="s">
        <v>65</v>
      </c>
      <c r="D15" s="138" t="s">
        <v>23</v>
      </c>
      <c r="E15" s="132">
        <v>10</v>
      </c>
      <c r="F15" s="133"/>
    </row>
    <row r="16" spans="1:6">
      <c r="A16" s="74" t="s">
        <v>66</v>
      </c>
      <c r="B16" s="75" t="s">
        <v>67</v>
      </c>
      <c r="C16" s="137" t="s">
        <v>68</v>
      </c>
      <c r="D16" s="138" t="s">
        <v>23</v>
      </c>
      <c r="E16" s="130">
        <v>10</v>
      </c>
      <c r="F16" s="131"/>
    </row>
    <row r="17" spans="1:6">
      <c r="A17" s="74" t="s">
        <v>69</v>
      </c>
      <c r="B17" s="75"/>
      <c r="C17" s="137" t="s">
        <v>70</v>
      </c>
      <c r="D17" s="138" t="s">
        <v>23</v>
      </c>
      <c r="E17" s="132">
        <v>10</v>
      </c>
      <c r="F17" s="133"/>
    </row>
    <row r="18" spans="1:6">
      <c r="A18" s="74" t="s">
        <v>71</v>
      </c>
      <c r="B18" s="75" t="s">
        <v>72</v>
      </c>
      <c r="C18" s="137" t="s">
        <v>73</v>
      </c>
      <c r="D18" s="138" t="s">
        <v>23</v>
      </c>
      <c r="E18" s="130">
        <v>10</v>
      </c>
      <c r="F18" s="131"/>
    </row>
    <row r="19" spans="1:6">
      <c r="A19" s="74" t="s">
        <v>74</v>
      </c>
      <c r="B19" s="75"/>
      <c r="C19" s="137" t="s">
        <v>75</v>
      </c>
      <c r="D19" s="138" t="s">
        <v>23</v>
      </c>
      <c r="E19" s="132">
        <v>10</v>
      </c>
      <c r="F19" s="133"/>
    </row>
    <row r="20" spans="1:6">
      <c r="A20" s="74" t="s">
        <v>76</v>
      </c>
      <c r="B20" s="75" t="s">
        <v>77</v>
      </c>
      <c r="C20" s="137" t="s">
        <v>78</v>
      </c>
      <c r="D20" s="138" t="s">
        <v>23</v>
      </c>
      <c r="E20" s="130">
        <v>3</v>
      </c>
      <c r="F20" s="131"/>
    </row>
    <row r="21" spans="1:6">
      <c r="A21" s="74" t="s">
        <v>80</v>
      </c>
      <c r="B21" s="75"/>
      <c r="C21" s="137" t="s">
        <v>81</v>
      </c>
      <c r="D21" s="138" t="s">
        <v>23</v>
      </c>
      <c r="E21" s="132">
        <v>3</v>
      </c>
      <c r="F21" s="133"/>
    </row>
    <row r="22" spans="1:6">
      <c r="A22" s="74" t="s">
        <v>82</v>
      </c>
      <c r="B22" s="75" t="s">
        <v>83</v>
      </c>
      <c r="C22" s="137" t="s">
        <v>84</v>
      </c>
      <c r="D22" s="138" t="s">
        <v>23</v>
      </c>
      <c r="E22" s="130">
        <v>1</v>
      </c>
      <c r="F22" s="131"/>
    </row>
    <row r="23" spans="1:6">
      <c r="A23" s="74" t="s">
        <v>85</v>
      </c>
      <c r="B23" s="75"/>
      <c r="C23" s="137" t="s">
        <v>86</v>
      </c>
      <c r="D23" s="138" t="s">
        <v>23</v>
      </c>
      <c r="E23" s="132">
        <v>1</v>
      </c>
      <c r="F23" s="133"/>
    </row>
    <row r="24" spans="1:6">
      <c r="A24" s="74" t="s">
        <v>87</v>
      </c>
      <c r="B24" s="75" t="s">
        <v>88</v>
      </c>
      <c r="C24" s="137" t="s">
        <v>89</v>
      </c>
      <c r="D24" s="138" t="s">
        <v>23</v>
      </c>
      <c r="E24" s="130">
        <v>12</v>
      </c>
      <c r="F24" s="131"/>
    </row>
    <row r="25" spans="1:6">
      <c r="A25" s="74" t="s">
        <v>90</v>
      </c>
      <c r="B25" s="75"/>
      <c r="C25" s="137" t="s">
        <v>91</v>
      </c>
      <c r="D25" s="138" t="s">
        <v>23</v>
      </c>
      <c r="E25" s="132">
        <v>2</v>
      </c>
      <c r="F25" s="133"/>
    </row>
    <row r="26" spans="1:6">
      <c r="A26" s="74" t="s">
        <v>92</v>
      </c>
      <c r="B26" s="75" t="s">
        <v>72</v>
      </c>
      <c r="C26" s="137" t="s">
        <v>73</v>
      </c>
      <c r="D26" s="138" t="s">
        <v>23</v>
      </c>
      <c r="E26" s="130">
        <v>1</v>
      </c>
      <c r="F26" s="131"/>
    </row>
    <row r="27" spans="1:6">
      <c r="A27" s="74" t="s">
        <v>93</v>
      </c>
      <c r="B27" s="75"/>
      <c r="C27" s="137" t="s">
        <v>94</v>
      </c>
      <c r="D27" s="138" t="s">
        <v>23</v>
      </c>
      <c r="E27" s="132">
        <v>1</v>
      </c>
      <c r="F27" s="133"/>
    </row>
    <row r="28" spans="1:6">
      <c r="A28" s="74" t="s">
        <v>95</v>
      </c>
      <c r="B28" s="75" t="s">
        <v>67</v>
      </c>
      <c r="C28" s="137" t="s">
        <v>68</v>
      </c>
      <c r="D28" s="138" t="s">
        <v>23</v>
      </c>
      <c r="E28" s="130">
        <v>10</v>
      </c>
      <c r="F28" s="131"/>
    </row>
    <row r="29" spans="1:6">
      <c r="A29" s="74" t="s">
        <v>96</v>
      </c>
      <c r="B29" s="75"/>
      <c r="C29" s="137" t="s">
        <v>97</v>
      </c>
      <c r="D29" s="138" t="s">
        <v>23</v>
      </c>
      <c r="E29" s="132">
        <v>10</v>
      </c>
      <c r="F29" s="133"/>
    </row>
    <row r="30" spans="1:6" ht="23.25">
      <c r="A30" s="74" t="s">
        <v>98</v>
      </c>
      <c r="B30" s="75" t="s">
        <v>99</v>
      </c>
      <c r="C30" s="137" t="s">
        <v>100</v>
      </c>
      <c r="D30" s="138" t="s">
        <v>46</v>
      </c>
      <c r="E30" s="134">
        <v>24.2</v>
      </c>
      <c r="F30" s="135"/>
    </row>
    <row r="31" spans="1:6">
      <c r="A31" s="74" t="s">
        <v>102</v>
      </c>
      <c r="B31" s="75" t="s">
        <v>27</v>
      </c>
      <c r="C31" s="137" t="s">
        <v>103</v>
      </c>
      <c r="D31" s="138" t="s">
        <v>24</v>
      </c>
      <c r="E31" s="132">
        <v>2300</v>
      </c>
      <c r="F31" s="133"/>
    </row>
    <row r="32" spans="1:6">
      <c r="A32" s="74" t="s">
        <v>104</v>
      </c>
      <c r="B32" s="75" t="s">
        <v>27</v>
      </c>
      <c r="C32" s="137" t="s">
        <v>105</v>
      </c>
      <c r="D32" s="138" t="s">
        <v>24</v>
      </c>
      <c r="E32" s="132">
        <v>100</v>
      </c>
      <c r="F32" s="133"/>
    </row>
    <row r="33" spans="1:6">
      <c r="A33" s="74" t="s">
        <v>106</v>
      </c>
      <c r="B33" s="75" t="s">
        <v>27</v>
      </c>
      <c r="C33" s="137" t="s">
        <v>107</v>
      </c>
      <c r="D33" s="138" t="s">
        <v>24</v>
      </c>
      <c r="E33" s="132">
        <v>20</v>
      </c>
      <c r="F33" s="133"/>
    </row>
    <row r="34" spans="1:6">
      <c r="A34" s="74" t="s">
        <v>108</v>
      </c>
      <c r="B34" s="75" t="s">
        <v>27</v>
      </c>
      <c r="C34" s="137" t="s">
        <v>48</v>
      </c>
      <c r="D34" s="138" t="s">
        <v>24</v>
      </c>
      <c r="E34" s="132">
        <v>2300</v>
      </c>
      <c r="F34" s="133"/>
    </row>
    <row r="35" spans="1:6">
      <c r="A35" s="74" t="s">
        <v>109</v>
      </c>
      <c r="B35" s="75" t="s">
        <v>72</v>
      </c>
      <c r="C35" s="137" t="s">
        <v>73</v>
      </c>
      <c r="D35" s="138" t="s">
        <v>23</v>
      </c>
      <c r="E35" s="130">
        <v>10</v>
      </c>
      <c r="F35" s="131"/>
    </row>
    <row r="36" spans="1:6">
      <c r="A36" s="74" t="s">
        <v>110</v>
      </c>
      <c r="B36" s="75"/>
      <c r="C36" s="137" t="s">
        <v>111</v>
      </c>
      <c r="D36" s="138" t="s">
        <v>23</v>
      </c>
      <c r="E36" s="132">
        <v>10</v>
      </c>
      <c r="F36" s="133"/>
    </row>
    <row r="37" spans="1:6">
      <c r="A37" s="74" t="s">
        <v>112</v>
      </c>
      <c r="B37" s="75" t="s">
        <v>27</v>
      </c>
      <c r="C37" s="137" t="s">
        <v>113</v>
      </c>
      <c r="D37" s="138" t="s">
        <v>24</v>
      </c>
      <c r="E37" s="132">
        <v>50</v>
      </c>
      <c r="F37" s="133"/>
    </row>
    <row r="38" spans="1:6">
      <c r="A38" s="74" t="s">
        <v>114</v>
      </c>
      <c r="B38" s="75" t="s">
        <v>115</v>
      </c>
      <c r="C38" s="137" t="s">
        <v>116</v>
      </c>
      <c r="D38" s="138" t="s">
        <v>23</v>
      </c>
      <c r="E38" s="130">
        <v>3</v>
      </c>
      <c r="F38" s="131"/>
    </row>
    <row r="39" spans="1:6">
      <c r="A39" s="74" t="s">
        <v>118</v>
      </c>
      <c r="B39" s="75"/>
      <c r="C39" s="137" t="s">
        <v>119</v>
      </c>
      <c r="D39" s="138" t="s">
        <v>23</v>
      </c>
      <c r="E39" s="132">
        <v>3</v>
      </c>
      <c r="F39" s="133"/>
    </row>
    <row r="40" spans="1:6">
      <c r="A40" s="74" t="s">
        <v>120</v>
      </c>
      <c r="B40" s="75" t="s">
        <v>121</v>
      </c>
      <c r="C40" s="137" t="s">
        <v>78</v>
      </c>
      <c r="D40" s="138" t="s">
        <v>23</v>
      </c>
      <c r="E40" s="130">
        <v>1</v>
      </c>
      <c r="F40" s="131"/>
    </row>
    <row r="41" spans="1:6">
      <c r="A41" s="74" t="s">
        <v>122</v>
      </c>
      <c r="B41" s="75"/>
      <c r="C41" s="137" t="s">
        <v>123</v>
      </c>
      <c r="D41" s="138" t="s">
        <v>23</v>
      </c>
      <c r="E41" s="132">
        <v>1</v>
      </c>
      <c r="F41" s="133"/>
    </row>
  </sheetData>
  <autoFilter ref="A1:F41" xr:uid="{CEEAA74A-B81B-41B0-B88F-06DF3EA2A4DF}"/>
  <mergeCells count="39">
    <mergeCell ref="E36:F36"/>
    <mergeCell ref="E37:F37"/>
    <mergeCell ref="E38:F38"/>
    <mergeCell ref="E39:F39"/>
    <mergeCell ref="E40:F40"/>
    <mergeCell ref="E41:F41"/>
    <mergeCell ref="E30:F30"/>
    <mergeCell ref="E31:F31"/>
    <mergeCell ref="E32:F32"/>
    <mergeCell ref="E33:F33"/>
    <mergeCell ref="E34:F34"/>
    <mergeCell ref="E35:F35"/>
    <mergeCell ref="E24:F24"/>
    <mergeCell ref="E25:F25"/>
    <mergeCell ref="E26:F26"/>
    <mergeCell ref="E27:F27"/>
    <mergeCell ref="E28:F28"/>
    <mergeCell ref="E29:F29"/>
    <mergeCell ref="E18:F18"/>
    <mergeCell ref="E19:F19"/>
    <mergeCell ref="E20:F20"/>
    <mergeCell ref="E21:F21"/>
    <mergeCell ref="E22:F22"/>
    <mergeCell ref="E23:F23"/>
    <mergeCell ref="C12:D12"/>
    <mergeCell ref="E13:F13"/>
    <mergeCell ref="E14:F14"/>
    <mergeCell ref="E15:F15"/>
    <mergeCell ref="E16:F16"/>
    <mergeCell ref="E17:F17"/>
    <mergeCell ref="B2:F2"/>
    <mergeCell ref="B3:F3"/>
    <mergeCell ref="C5:E5"/>
    <mergeCell ref="B6:F6"/>
    <mergeCell ref="A9:A10"/>
    <mergeCell ref="B9:B10"/>
    <mergeCell ref="C9:C10"/>
    <mergeCell ref="D9:D10"/>
    <mergeCell ref="E9:F9"/>
  </mergeCells>
  <printOptions horizontalCentered="1"/>
  <pageMargins left="0.39370078740157483" right="0.39370078740157483" top="0.39370078740157483" bottom="0.39370078740157483" header="0.39370078740157483" footer="0.39370078740157483"/>
  <pageSetup paperSize="9" scale="71" fitToHeight="1000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5</vt:i4>
      </vt:variant>
    </vt:vector>
  </HeadingPairs>
  <TitlesOfParts>
    <vt:vector size="8" baseType="lpstr">
      <vt:lpstr>ресурс</vt:lpstr>
      <vt:lpstr>единич</vt:lpstr>
      <vt:lpstr>ВОР</vt:lpstr>
      <vt:lpstr>ВОР!Заголовки_для_печати</vt:lpstr>
      <vt:lpstr>единич!Заголовки_для_печати</vt:lpstr>
      <vt:lpstr>ВОР!Область_печати</vt:lpstr>
      <vt:lpstr>единич!Область_печати</vt:lpstr>
      <vt:lpstr>ресурс!Область_печати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</dc:creator>
  <cp:lastModifiedBy>User</cp:lastModifiedBy>
  <cp:lastPrinted>2026-01-26T06:55:18Z</cp:lastPrinted>
  <dcterms:created xsi:type="dcterms:W3CDTF">2025-06-12T08:49:10Z</dcterms:created>
  <dcterms:modified xsi:type="dcterms:W3CDTF">2026-01-26T06:55:52Z</dcterms:modified>
</cp:coreProperties>
</file>