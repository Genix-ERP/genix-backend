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Yuksalish\16-Жилдом Sattepo Avenyu\"/>
    </mc:Choice>
  </mc:AlternateContent>
  <xr:revisionPtr revIDLastSave="0" documentId="13_ncr:1_{B51755BE-7EF8-46F9-B70E-20A6BDB61A53}" xr6:coauthVersionLast="45" xr6:coauthVersionMax="47" xr10:uidLastSave="{00000000-0000-0000-0000-000000000000}"/>
  <bookViews>
    <workbookView xWindow="-98" yWindow="-98" windowWidth="28996" windowHeight="15675" activeTab="2" xr2:uid="{B0DDBC91-EEA6-4E2A-A4AA-7AE33CB371AA}"/>
  </bookViews>
  <sheets>
    <sheet name="ресурс" sheetId="3" r:id="rId1"/>
    <sheet name="единич" sheetId="2" r:id="rId2"/>
    <sheet name="ВОР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na1">#REF!</definedName>
    <definedName name="__________na1">#REF!</definedName>
    <definedName name="_________na1">#REF!</definedName>
    <definedName name="________na1">#REF!</definedName>
    <definedName name="_______na1">#REF!</definedName>
    <definedName name="______na1">#REF!</definedName>
    <definedName name="_____na1">#REF!</definedName>
    <definedName name="____na1">#REF!</definedName>
    <definedName name="___na1">#REF!</definedName>
    <definedName name="__na1">#REF!</definedName>
    <definedName name="__na2">'[1]Ведомость ресурсов'!#REF!</definedName>
    <definedName name="__na3">'[1]Ведомость работ'!#REF!</definedName>
    <definedName name="__na4">#REF!</definedName>
    <definedName name="__na5">#REF!</definedName>
    <definedName name="__na6">#REF!</definedName>
    <definedName name="__na7">#REF!</definedName>
    <definedName name="__na8">#REF!</definedName>
    <definedName name="_na1">#REF!</definedName>
    <definedName name="_xlnm._FilterDatabase" localSheetId="2" hidden="1">ВОР!$A$1:$F$478</definedName>
    <definedName name="_xlnm._FilterDatabase" localSheetId="1" hidden="1">единич!$A$1:$F$1905</definedName>
    <definedName name="_xlnm._FilterDatabase" localSheetId="0" hidden="1">ресурс!$A$1:$G$299</definedName>
    <definedName name="bases">#REF!</definedName>
    <definedName name="bases1">#REF!</definedName>
    <definedName name="bases2">'[2]Вед. рес-в'!#REF!</definedName>
    <definedName name="bases3">'[2]Вед. р-т'!#REF!</definedName>
    <definedName name="bases4">#REF!</definedName>
    <definedName name="bases5">#REF!</definedName>
    <definedName name="bases6">#REF!</definedName>
    <definedName name="bases7">#REF!</definedName>
    <definedName name="bases8">#REF!</definedName>
    <definedName name="Build">#REF!</definedName>
    <definedName name="Build1">#REF!</definedName>
    <definedName name="Build2">'[2]Вед. рес-в'!#REF!</definedName>
    <definedName name="Build3">'[2]Вед. р-т'!#REF!</definedName>
    <definedName name="Build4">#REF!</definedName>
    <definedName name="Build5">#REF!</definedName>
    <definedName name="Build6">#REF!</definedName>
    <definedName name="Build7">#REF!</definedName>
    <definedName name="Build8">#REF!</definedName>
    <definedName name="Data">'[2]Л-р в-сть'!#REF!</definedName>
    <definedName name="document_date">#REF!</definedName>
    <definedName name="document_datу">#REF!</definedName>
    <definedName name="document_number">#REF!</definedName>
    <definedName name="itog_title">#REF!</definedName>
    <definedName name="lsv">#REF!</definedName>
    <definedName name="month">#REF!</definedName>
    <definedName name="month_begin">#REF!</definedName>
    <definedName name="month_end">#REF!</definedName>
    <definedName name="number">#REF!</definedName>
    <definedName name="object">#REF!</definedName>
    <definedName name="object_name">#REF!</definedName>
    <definedName name="OBJECT_NUMBER1">#REF!</definedName>
    <definedName name="OBJECT_NUMBER2">'[1]Ведомость ресурсов'!#REF!</definedName>
    <definedName name="OBJECT_NUMBER4">#REF!</definedName>
    <definedName name="OBJECT_NUMBER5">#REF!</definedName>
    <definedName name="OBJECT_NUMBER6">#REF!</definedName>
    <definedName name="OBJECT_NUMBER7">#REF!</definedName>
    <definedName name="OBJECT_NUMBER8">#REF!</definedName>
    <definedName name="object1">#REF!</definedName>
    <definedName name="object2">'[2]Вед. рес-в'!#REF!</definedName>
    <definedName name="object3">'[2]Вед. р-т'!#REF!</definedName>
    <definedName name="object4">#REF!</definedName>
    <definedName name="object5">#REF!</definedName>
    <definedName name="object6">#REF!</definedName>
    <definedName name="object7">#REF!</definedName>
    <definedName name="object8">#REF!</definedName>
    <definedName name="PR">#REF!</definedName>
    <definedName name="summa_work">#REF!</definedName>
    <definedName name="Title">#REF!</definedName>
    <definedName name="work_title">#REF!</definedName>
    <definedName name="А">#REF!</definedName>
    <definedName name="ВЫА">#REF!</definedName>
    <definedName name="_xlnm.Print_Titles" localSheetId="2">ВОР!$11:$11</definedName>
    <definedName name="_xlnm.Print_Titles" localSheetId="1">единич!$11:$11</definedName>
    <definedName name="копия">'[3]Вед. рес.'!$A$1</definedName>
    <definedName name="Л">[4]bx_abc4!#REF!</definedName>
    <definedName name="_xlnm.Print_Area" localSheetId="2">ВОР!$A$1:$F$478</definedName>
    <definedName name="_xlnm.Print_Area" localSheetId="1">единич!$A$1:$F$1905</definedName>
    <definedName name="_xlnm.Print_Area" localSheetId="0">ресурс!$A$1:$G$299</definedName>
    <definedName name="П">[4]bx_abc4!$E$171</definedName>
    <definedName name="Р">[4]bx_abc4!#REF!</definedName>
    <definedName name="труд">#REF!</definedName>
    <definedName name="Ф">'[5]15916341_А0'!$E$2097</definedName>
    <definedName name="Я">'[6]903431_А0'!#REF!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97" i="3" l="1"/>
  <c r="G283" i="3" l="1"/>
  <c r="G284" i="3"/>
  <c r="G285" i="3"/>
  <c r="G286" i="3"/>
  <c r="G287" i="3"/>
  <c r="G288" i="3"/>
  <c r="G289" i="3"/>
  <c r="G290" i="3"/>
  <c r="G291" i="3"/>
  <c r="G292" i="3"/>
  <c r="G293" i="3"/>
  <c r="G66" i="3"/>
  <c r="G67" i="3"/>
  <c r="G68" i="3"/>
  <c r="G167" i="3" l="1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166" i="3" l="1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3" i="3"/>
  <c r="G14" i="3" s="1"/>
  <c r="G69" i="3" l="1"/>
  <c r="G294" i="3"/>
  <c r="G295" i="3" s="1"/>
  <c r="G296" i="3" s="1"/>
</calcChain>
</file>

<file path=xl/sharedStrings.xml><?xml version="1.0" encoding="utf-8"?>
<sst xmlns="http://schemas.openxmlformats.org/spreadsheetml/2006/main" count="7054" uniqueCount="994">
  <si>
    <t>(наименование стройки)</t>
  </si>
  <si>
    <t>(локальная ресурсная смета)</t>
  </si>
  <si>
    <t xml:space="preserve">                   </t>
  </si>
  <si>
    <t>N п.п.</t>
  </si>
  <si>
    <t>Шифр номера нормативов и коды ресурсов</t>
  </si>
  <si>
    <t>Наименование работ и затрат</t>
  </si>
  <si>
    <t>Единица измерения</t>
  </si>
  <si>
    <t xml:space="preserve">Количество </t>
  </si>
  <si>
    <t>на. ед. измерения</t>
  </si>
  <si>
    <t>по проектным данным</t>
  </si>
  <si>
    <t>1</t>
  </si>
  <si>
    <t>ЗАТРАТЫ ТРУДА РАБОЧИХ-СТРОИТЕЛЕЙ</t>
  </si>
  <si>
    <t>ЧЕЛ.-Ч</t>
  </si>
  <si>
    <t>МАШ.-Ч</t>
  </si>
  <si>
    <t>Т</t>
  </si>
  <si>
    <t>2</t>
  </si>
  <si>
    <t>3</t>
  </si>
  <si>
    <t>4</t>
  </si>
  <si>
    <t>КРАНЫ НА АВТОМОБИЛЬНОМ ХОДУ ПРИ РАБОТЕ НА ДРУГИХ ВИДАХ СТРОИТЕЛЬСТВА 10 Т</t>
  </si>
  <si>
    <t>АВТОМОБИЛИ БОРТОВЫЕ ГРУЗОПОДЪЕМНОСТЬЮ ДО 5 Т</t>
  </si>
  <si>
    <t>ГВОЗДИ СТРОИТЕЛЬНЫЕ</t>
  </si>
  <si>
    <t>М2</t>
  </si>
  <si>
    <t>КАТАНКА ГОРЯЧЕКАТАНАЯ В МОТКАХ ДИАМЕТРОМ 6,3-6,5 ММ</t>
  </si>
  <si>
    <t>М3</t>
  </si>
  <si>
    <t>5</t>
  </si>
  <si>
    <t>ДРЕЛИ ЭЛЕКТРИЧЕСКИЕ</t>
  </si>
  <si>
    <t>БОЛТЫ СТРОИТЕЛЬНЫЕ С ГАЙКАМИ И ШАЙБАМИ</t>
  </si>
  <si>
    <t>6</t>
  </si>
  <si>
    <t>7</t>
  </si>
  <si>
    <t>8</t>
  </si>
  <si>
    <t>ШТ</t>
  </si>
  <si>
    <t>М</t>
  </si>
  <si>
    <t>9</t>
  </si>
  <si>
    <t>10</t>
  </si>
  <si>
    <t>С</t>
  </si>
  <si>
    <t>11</t>
  </si>
  <si>
    <t>12</t>
  </si>
  <si>
    <t>13</t>
  </si>
  <si>
    <t>14</t>
  </si>
  <si>
    <t>15</t>
  </si>
  <si>
    <t>16</t>
  </si>
  <si>
    <t>ТРУДОВЫЕ РЕСУРСЫ</t>
  </si>
  <si>
    <t>СТРОИТЕЛЬНЫЕ МАШИНЫ И МЕХАНИЗМЫ</t>
  </si>
  <si>
    <t>МАТЕРИАЛЬНЫЕ РЕСУРСЫ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</si>
  <si>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</si>
  <si>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</si>
  <si>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</si>
  <si>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</si>
  <si>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</si>
  <si>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</si>
  <si>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</si>
  <si>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</si>
  <si>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</si>
  <si>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</si>
  <si>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</si>
  <si>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</si>
  <si>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</si>
  <si>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</si>
  <si>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</si>
  <si>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</si>
  <si>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ЛОКАЛЬНЫЙ РЕСУРСНЫЙ СМЕТНЫЙ РАСЧЕТ</t>
  </si>
  <si>
    <t>Сметная стоимость</t>
  </si>
  <si>
    <t>СУМ</t>
  </si>
  <si>
    <t>в базисном уровне</t>
  </si>
  <si>
    <t>на.ед.изм.</t>
  </si>
  <si>
    <t>общая</t>
  </si>
  <si>
    <t>ИТОГО ПО ТРУДОВЫМ РЕСУРСАМ:</t>
  </si>
  <si>
    <t>ИТОГО ПО СТРОИТЕЛЬНЫМ МАШИНАМ:</t>
  </si>
  <si>
    <t>ИТОГО ПО СТРОИТЕЛЬНЫМ МАТЕРИАЛАМ:</t>
  </si>
  <si>
    <t>ИТОГО ПРЯМЫЕ ЗАТРАТЫ</t>
  </si>
  <si>
    <t>ИТОГО</t>
  </si>
  <si>
    <t>АВТОМОБИЛИ БОРТОВЫЕ ГРУЗОПОДЪЕМНОСТЬЮ ДО 8 Т</t>
  </si>
  <si>
    <t>АППАРАТЫ ДЛЯ ГАЗОВОЙ СВАРКИ И РЕЗКИ</t>
  </si>
  <si>
    <t>ПЕРФОРАТОРЫ ЭЛЕКТРИЧЕСКИЕ</t>
  </si>
  <si>
    <t>ВОДА</t>
  </si>
  <si>
    <t>КОМПЛ</t>
  </si>
  <si>
    <t>КГ</t>
  </si>
  <si>
    <t>КИСЛОРОД ТЕХНИЧЕСКИЙ ГАЗООБРАЗНЫЙ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</si>
  <si>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</si>
  <si>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</si>
  <si>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</si>
  <si>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</si>
  <si>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</si>
  <si>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</si>
  <si>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</si>
  <si>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</si>
  <si>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</si>
  <si>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</si>
  <si>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</si>
  <si>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</si>
  <si>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</si>
  <si>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</si>
  <si>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</si>
  <si>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</si>
  <si>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</si>
  <si>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</si>
  <si>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</si>
  <si>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</si>
  <si>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</si>
  <si>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</si>
  <si>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</si>
  <si>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</si>
  <si>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</si>
  <si>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</si>
  <si>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</si>
  <si>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</si>
  <si>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ГИПСОВЫЕ ВЯЖУЩИЕ Г-3</t>
  </si>
  <si>
    <t>УСТАНОВКИ ДЛЯ СВАРКИ РУЧНОЙ ДУГОВОЙ (ПОСТОЯННОГО ТОКА)</t>
  </si>
  <si>
    <t>ЭЛЕКТРОДЫ ДИАМЕТРОМ 4 ММ Э42</t>
  </si>
  <si>
    <t>112</t>
  </si>
  <si>
    <t>ПРОПАН-БУТАН, СМЕСЬ ТЕХНИЧЕСКАЯ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</si>
  <si>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</si>
  <si>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</si>
  <si>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</si>
  <si>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</si>
  <si>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</si>
  <si>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</si>
  <si>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</si>
  <si>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</si>
  <si>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</si>
  <si>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</si>
  <si>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</si>
  <si>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</si>
  <si>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</si>
  <si>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</si>
  <si>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</si>
  <si>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</si>
  <si>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</si>
  <si>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</si>
  <si>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</si>
  <si>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</si>
  <si>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</si>
  <si>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</si>
  <si>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</si>
  <si>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</si>
  <si>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</si>
  <si>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</si>
  <si>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Общестроительные работы</t>
  </si>
  <si>
    <t>87</t>
  </si>
  <si>
    <t>185</t>
  </si>
  <si>
    <t>151</t>
  </si>
  <si>
    <t>ВИБРАТОРЫ ГЛУБИННЫЕ</t>
  </si>
  <si>
    <t>БЕТОН ТЯЖЕЛЫЙ КЛАССА В7,5 /М-100/ ФРАКЦИИ 5-20 ММ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</si>
  <si>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</si>
  <si>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</si>
  <si>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</si>
  <si>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</si>
  <si>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</si>
  <si>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</si>
  <si>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</si>
  <si>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</si>
  <si>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</si>
  <si>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</si>
  <si>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</si>
  <si>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</si>
  <si>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</si>
  <si>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</si>
  <si>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</si>
  <si>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</si>
  <si>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</si>
  <si>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</si>
  <si>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</si>
  <si>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</si>
  <si>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</si>
  <si>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</si>
  <si>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</si>
  <si>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</si>
  <si>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</si>
  <si>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</si>
  <si>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</si>
  <si>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</si>
  <si>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</si>
  <si>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</si>
  <si>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</si>
  <si>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</si>
  <si>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</si>
  <si>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</si>
  <si>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</si>
  <si>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</si>
  <si>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</si>
  <si>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</si>
  <si>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</si>
  <si>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</si>
  <si>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</si>
  <si>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</si>
  <si>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</si>
  <si>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</si>
  <si>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</si>
  <si>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</si>
  <si>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</si>
  <si>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</si>
  <si>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</si>
  <si>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</si>
  <si>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</si>
  <si>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</si>
  <si>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</si>
  <si>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</si>
  <si>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</si>
  <si>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</si>
  <si>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</si>
  <si>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</si>
  <si>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</si>
  <si>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</si>
  <si>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</si>
  <si>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</si>
  <si>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</si>
  <si>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</si>
  <si>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</si>
  <si>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</si>
  <si>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</si>
  <si>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</si>
  <si>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</si>
  <si>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</si>
  <si>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</si>
  <si>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</si>
  <si>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</si>
  <si>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</si>
  <si>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</si>
  <si>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</si>
  <si>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</si>
  <si>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</si>
  <si>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</si>
  <si>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</si>
  <si>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</si>
  <si>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</si>
  <si>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</si>
  <si>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</si>
  <si>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</si>
  <si>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</si>
  <si>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</si>
  <si>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</si>
  <si>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</si>
  <si>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Локально-ресурсная ведомость.</t>
  </si>
  <si>
    <t>МАШИНЫ ШЛИФОВАЛЬНЫЕ ЭЛЕКТРИЧЕСКИЕ</t>
  </si>
  <si>
    <t>ПРЕОБРАЗОВАТЕЛИ СВАРОЧНЫЕ С НОМИНАЛЬНЫМ СВАРОЧНЫМ ТОКОМ 315-500 А</t>
  </si>
  <si>
    <t>РАСТВОР ГОТОВЫЙ КЛАДОЧНЫЙ ТЯЖЕЛЫЙ ЦЕМЕНТНЫЙ, МАРКА: 50</t>
  </si>
  <si>
    <t>ГРУНТОВКА ГФ-021 КРАСНО-КОРИЧНЕВАЯ</t>
  </si>
  <si>
    <t>РАСТВОРИТЕЛЬ МАРКИ Р-4</t>
  </si>
  <si>
    <t>ШЛИФКРУГИ</t>
  </si>
  <si>
    <t>ОТДЕЛЬНЫЕ КОНСТРУКТИВНЫЕ ЭЛЕМЕНТЫ ЗДАНИЙ И СООРУЖЕНИЙ С ПРЕОБЛАДАНИЕМ ГОРЯЧЕКАТАНЫХ ПРОФИЛЕЙ, СРЕДНЯЯ МАССА СБОРОЧНОЙ ЕДИНИЦЫ СВЫШЕ 0.1 ДО 0.5 Т</t>
  </si>
  <si>
    <t>КАНАТ ДВОЙНОЙ СВИВКИ, ТИПА ТК, КОНСТРУКЦИИ 6Х19(1+6+12)+1 О.С. ОЦИНКОВАННЫЙ, ИЗ ПРОВОЛОК МАРКИ В, МАРКИРОВОЧНАЯ ГРУППА 1770 Н/ММ2, ДИАМЕТРОМ, ММ: 5,5</t>
  </si>
  <si>
    <t>10М</t>
  </si>
  <si>
    <t>179</t>
  </si>
  <si>
    <t>180</t>
  </si>
  <si>
    <t>181</t>
  </si>
  <si>
    <t>182</t>
  </si>
  <si>
    <t>183</t>
  </si>
  <si>
    <t>184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</si>
  <si>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</si>
  <si>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</si>
  <si>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</si>
  <si>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</si>
  <si>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</si>
  <si>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</si>
  <si>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</si>
  <si>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</si>
  <si>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</si>
  <si>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</si>
  <si>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</si>
  <si>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</si>
  <si>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</si>
  <si>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</si>
  <si>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</si>
  <si>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</si>
  <si>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</si>
  <si>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</si>
  <si>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</si>
  <si>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</si>
  <si>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</si>
  <si>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</si>
  <si>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</si>
  <si>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</si>
  <si>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</si>
  <si>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</si>
  <si>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</si>
  <si>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</si>
  <si>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</si>
  <si>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</si>
  <si>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</si>
  <si>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</si>
  <si>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</si>
  <si>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</si>
  <si>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</si>
  <si>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</si>
  <si>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</si>
  <si>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</si>
  <si>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</si>
  <si>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</si>
  <si>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</si>
  <si>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</si>
  <si>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</si>
  <si>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</si>
  <si>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</si>
  <si>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</si>
  <si>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</si>
  <si>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</si>
  <si>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</si>
  <si>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</si>
  <si>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</si>
  <si>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</si>
  <si>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</si>
  <si>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</si>
  <si>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</si>
  <si>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</si>
  <si>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</si>
  <si>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</si>
  <si>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</si>
  <si>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</si>
  <si>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</si>
  <si>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Т КОНСТРУКЦИЙ</t>
  </si>
  <si>
    <t>247</t>
  </si>
  <si>
    <t>248</t>
  </si>
  <si>
    <t>249</t>
  </si>
  <si>
    <t>100 М3 БЕТОНА</t>
  </si>
  <si>
    <t>ПЛЕНКА ПОЛИЭТИЛЕНОВАЯ ТОЛЩИНОЙ 0,15 ММ</t>
  </si>
  <si>
    <t>ПИЛОМАТЕРИАЛЫ ХВОЙНЫХ ПОРОД БРУСКИ ОБРЕЗНЫЕ ДЛИНОЙ 4-6,5 М, ШИРИНОЙ 75-150 ММ, ТОЛЩИНОЙ 40-75 ММ I СОРТА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</si>
  <si>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</si>
  <si>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</si>
  <si>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</si>
  <si>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</si>
  <si>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</si>
  <si>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</si>
  <si>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</si>
  <si>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</si>
  <si>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</si>
  <si>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</si>
  <si>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</si>
  <si>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</si>
  <si>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</si>
  <si>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</si>
  <si>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</si>
  <si>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</si>
  <si>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</si>
  <si>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</si>
  <si>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</si>
  <si>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</si>
  <si>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</si>
  <si>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</si>
  <si>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</si>
  <si>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</si>
  <si>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</si>
  <si>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</si>
  <si>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</si>
  <si>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</si>
  <si>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</si>
  <si>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</si>
  <si>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</si>
  <si>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</si>
  <si>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</si>
  <si>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</si>
  <si>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</si>
  <si>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</si>
  <si>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</si>
  <si>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</si>
  <si>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</si>
  <si>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</si>
  <si>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</si>
  <si>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</si>
  <si>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</si>
  <si>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</si>
  <si>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</si>
  <si>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</si>
  <si>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</si>
  <si>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</si>
  <si>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</si>
  <si>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</si>
  <si>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</si>
  <si>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</si>
  <si>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</si>
  <si>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</si>
  <si>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10 ШТ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</si>
  <si>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</si>
  <si>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</si>
  <si>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</si>
  <si>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</si>
  <si>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</si>
  <si>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</si>
  <si>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</si>
  <si>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</si>
  <si>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</si>
  <si>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</si>
  <si>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</si>
  <si>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</si>
  <si>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</si>
  <si>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</si>
  <si>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</si>
  <si>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</si>
  <si>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</si>
  <si>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</si>
  <si>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</si>
  <si>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</si>
  <si>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</si>
  <si>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</si>
  <si>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</si>
  <si>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</si>
  <si>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</si>
  <si>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</si>
  <si>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</si>
  <si>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</si>
  <si>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</si>
  <si>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</si>
  <si>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</si>
  <si>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</si>
  <si>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</si>
  <si>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</si>
  <si>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</si>
  <si>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</si>
  <si>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</si>
  <si>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</si>
  <si>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</si>
  <si>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</si>
  <si>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</si>
  <si>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</si>
  <si>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</si>
  <si>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</si>
  <si>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</si>
  <si>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</si>
  <si>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</si>
  <si>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</si>
  <si>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</si>
  <si>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</si>
  <si>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</si>
  <si>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</si>
  <si>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</si>
  <si>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</si>
  <si>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</si>
  <si>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</si>
  <si>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</si>
  <si>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</si>
  <si>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</si>
  <si>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</si>
  <si>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</si>
  <si>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</si>
  <si>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</si>
  <si>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</si>
  <si>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</si>
  <si>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</si>
  <si>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</si>
  <si>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</si>
  <si>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</si>
  <si>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</si>
  <si>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</si>
  <si>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</si>
  <si>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</si>
  <si>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</si>
  <si>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</si>
  <si>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</si>
  <si>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</si>
  <si>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</si>
  <si>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</si>
  <si>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</si>
  <si>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Е903-12-12</t>
  </si>
  <si>
    <t>100 М</t>
  </si>
  <si>
    <t>100М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</si>
  <si>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</si>
  <si>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</si>
  <si>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</si>
  <si>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</si>
  <si>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</si>
  <si>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</si>
  <si>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</si>
  <si>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</si>
  <si>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</si>
  <si>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</si>
  <si>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</si>
  <si>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</si>
  <si>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</si>
  <si>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</si>
  <si>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ВЫПРЯМИТЕЛИ СВАРОЧНЫЕ МНОГОПОСТОВЫЕ С КОЛИЧЕСТВОМ ПОСТОВ ДО 30</t>
  </si>
  <si>
    <t>ЛЕБЕДКИ ЭЛЕКТРИЧЕСКИЕ, ТЯГОВЫМ УСИЛИЕМ ДО 5,79 (0,59) КН (Т)</t>
  </si>
  <si>
    <t>ШВЕЛЛЕРЫ N 40 СТАЛЬ МАРКИ СТ0</t>
  </si>
  <si>
    <t xml:space="preserve">ТРАНСПОРТНЫЕ РАСХОДЫ НА МАТЕРИАЛЫ </t>
  </si>
  <si>
    <t>Е601-1-1</t>
  </si>
  <si>
    <t>ДРЕЛЬ-ПЕРФОРАТОР ЭЛЕКТРИЧЕСКАЯ</t>
  </si>
  <si>
    <t>100 М2 ПОВЕРХНОСТИ</t>
  </si>
  <si>
    <t>ЗЕМЛЯННЫЕ РАБОТЫ</t>
  </si>
  <si>
    <t>Е0101-195-38 ДОП. 11 ГОСАРХИТЕКТСТРОЙ РУЗ ПР. № 429 ОТ 15.12.17 Г.</t>
  </si>
  <si>
    <t>РАЗРАБОТКА ГРУНТА В ОТВАЛ ЭКСКАВАТОРАМИ ТИПА "ATLAS", "VOLVO", "KOMATSU", "HITACHI", "LIEBHER" С КОВШОМ ВМЕСТИМОСТЬЮ 0,4 (0,3-0,45) М3, ГРУППА ГРУНТОВ 2 ГРУНТА</t>
  </si>
  <si>
    <t>1000М3</t>
  </si>
  <si>
    <t>ЭКСКАВАТОРЫ НА ГУСЕНИЧНОМ ХОДУ ТИПА "ATLAS", "VOLVO", "KOMATSU", "HITACHI", "LIEBHER" С ЕМКОСТЬЮ КОВША 0,4 М3</t>
  </si>
  <si>
    <t>Е0102-010-01</t>
  </si>
  <si>
    <t>УСТРОЙСТВО ГРУНТОВЫХ ПОДУШЕК НА ПРОСАДОЧНЫХ ГРУНТАХ МЕТОДОМ ПОСЛОЙНОЙ УКАТКИ</t>
  </si>
  <si>
    <t>БУЛЬДОЗЕРЫ ПРИ РАБОТЕ НА ДРУГИХ ВИДАХ СТРОИТЕЛЬСТВА 79 (108) КВТ (Л.С.)</t>
  </si>
  <si>
    <t>КАТКИ ДОРОЖНЫЕ ПРИЦЕПНЫЕ КУЛАЧКОВЫЕ 8 Т</t>
  </si>
  <si>
    <t>КАТКИ ДОРОЖНЫЕ САМОХОДНЫЕ ГЛАДКИЕ 8 Т</t>
  </si>
  <si>
    <t>МАШИНЫ ПОЛИВОМОЕЧНЫЕ 6000 Л</t>
  </si>
  <si>
    <t>СКРЕПЕРЫ ПРИЦЕПНЫЕ (С ГУСЕНИЧНЫМ ТРАКТОРОМ) ПРИ РАБОТЕ НА ДРУГИХ ВИДАХ СТРОИТЕЛЬСТВА (КРОМЕ ВОДОХОЗЯЙСТВЕННОГО), ВМЕСТИМОСТЬ КОВША 8 М3</t>
  </si>
  <si>
    <t>ТРАКТОРЫ НА ГУСЕНИЧНОМ ХОДУ ПРИ РАБОТЕ НА ДРУГИХ ВИДАХ СТРОИТЕЛЬСТВА (КРОМЕ ВОДОХОЗЯЙСТВЕННОГО) ДО 59 (80) КВТ (Л.С.)</t>
  </si>
  <si>
    <t>ТРАКТОРЫ НА ГУСЕНИЧНОМ ХОДУ 79 (108) КВТ (Л.С.)</t>
  </si>
  <si>
    <t>Е0102-016-03 ДОП. 14</t>
  </si>
  <si>
    <t>УПЛОТНЕНИЕ ГРУНТА 1-Й ГРУППЫ ПРИ ОБРАТНОЙ ЗАСЫПКЕ ПАЗУХ КОТЛОВАНА ВИБРОКАТКОМ "BOMAG BW 177 D-4" ЗА ОДИН ПРОХОД ПО ОДНОМУ СЛЕДУ ПРИ ТОЛЩИНЕ СЛОЯ 30 СМ МАССОЙ КАТКА 8 ТН (ПОСЛОЙНОЕ)</t>
  </si>
  <si>
    <t>1000 М3</t>
  </si>
  <si>
    <t>ВИБРОКАТОК "BOMAG BW 177 D-4" МАССОЙ КАТКА 8 Т</t>
  </si>
  <si>
    <t>Е0102-006-01</t>
  </si>
  <si>
    <t>ПОЛИВ ВОДОЙ УПЛОТНЯЕМОГО ГРУНТА НАСЫПЕЙ</t>
  </si>
  <si>
    <t>ФУНДАМЕНТЫ</t>
  </si>
  <si>
    <t>Е0601-001-01</t>
  </si>
  <si>
    <t>УСТРОЙСТВО БЕТОННОЙ ПОДГОТОВКИ. БЕТОН ТЯЖЕЛЫЙ КЛАССА В7,5 /М-100/ ФРАКЦИИ 5-20 ММ</t>
  </si>
  <si>
    <t>Е0601-152-02</t>
  </si>
  <si>
    <t>УСТРОЙСТВО ФУНДАМЕНТНЫХ ПЛИТ ПЛОСКИХ С ПОМОЩЬЮ АВТОБЕТОНОНАСОСА ЖЕЛЕЗОБЕТОННЫХ. БЕТОН ТЯЖЕЛЫЙ КЛАССА В20 /М-250/ ФРАКЦИИ 5-20 ММ</t>
  </si>
  <si>
    <t>100 М3</t>
  </si>
  <si>
    <t>АВТОБЕТОНОНАСОСЫ 65 М3/Ч</t>
  </si>
  <si>
    <t>КРАНЫ НА АВТОМОБИЛЬНОМ ХОДУ 16 Т</t>
  </si>
  <si>
    <t>БЕТОН ТЯЖЕЛЫЙ КЛАССА В20 /М-250/ ФРАКЦИИ 5-20 ММ</t>
  </si>
  <si>
    <t>ГЕОТКАНЬ</t>
  </si>
  <si>
    <t>АРМАТУРА ДЛЯ МОНОЛИТНЫХ Ж/Б КОНСТРУКЦИИ В ВИДЕ СЕТОК И ПЛОСКИХ КАРКАСОВ, ПЕРИОДИЧЕСКОГО ПРОФИЛЯ КЛАССА АIII, ДИАМЕТРОМ 14ММ</t>
  </si>
  <si>
    <t>Е1202-002-04</t>
  </si>
  <si>
    <t>УСТРОЙСТВО ГИДРОИЗОЛЯЦИЙ ВЕРТИКАЛЬНЫХ ПОВЕРХНОСТЕЙ. ОКЛЕЕЧНАЯ В ДВА СЛОЯ ПО ВЫРОВНЕННОЙ ПОВЕРХНОСТИ КИРПИЧА И БЕТОНА БИТУМНО-ПОЛИМЕРНЫЙ МАТЕРИАЛ "ПОЛИИЗОЛ"</t>
  </si>
  <si>
    <t>100М2</t>
  </si>
  <si>
    <t>КОТЛЫ БИТУМНЫЕ ПЕРЕДВИЖНЫЕ 400 Л</t>
  </si>
  <si>
    <t>МАСТИКА БИТУМНАЯ КРОВЕЛЬНАЯ ГОРЯЧАЯ</t>
  </si>
  <si>
    <t>БИТУМНО-ПОЛИМЕРНЫЙ МАТЕРИАЛ "ПОЛИИЗОЛ"</t>
  </si>
  <si>
    <t>Е1202-001-02</t>
  </si>
  <si>
    <t>УСТРОЙСТВО ГИДРОИЗОЛЯЦИЙ ГОРИЗОНТАЛЬНЫХ ПОВЕРХНОСТЕЙ. ОКЛЕЕЧНАЯ В ОДИН СЛОЙ БИТУМНО-ПОЛИМЕРНЫЙ МАТЕРИАЛ "ПОЛИИЗОЛ"</t>
  </si>
  <si>
    <t>РАСТВОР ГОТОВЫЙ КЛАДОЧНЫЙ ЦЕМЕНТНЫЙ, МАРКА: 25</t>
  </si>
  <si>
    <t>Е1202-001-03</t>
  </si>
  <si>
    <t>УСТРОЙСТВО ГИДРОИЗОЛЯЦИЙ ГОРИЗОНТАЛЬНЫХ ПОВЕРХНОСТЕЙ. ОКЛЕЕЧНАЯ НА КАЖДЫЙ ПОСЛЕДУЮЩИЙ СЛОЙ БИТУМНО-ПОЛИМЕРНЫЙ МАТЕРИАЛ "ПОЛИИЗОЛ"</t>
  </si>
  <si>
    <t>АРМАТУРА ДЛЯ МОНОЛИТНЫХ Ж/Б КОНСТРУКЦИИ В ВИДЕ ПРОСТРАНСТВЕННЫХ КАРКАСОВ, ПЕРИОДИЧЕСКОГО ПРОФИЛЯ КЛАССА АIII, ДИАМЕТРОМ 16-18ММ</t>
  </si>
  <si>
    <t>АРМАТУРА ДЛЯ МОНОЛИТНЫХ Ж/Б КОНСТРУКЦИИ В ВИДЕ ПРОСТРАНСТВЕННЫХ КАРКАСОВ, ПЕРИОДИЧЕСКОГО ПРОФИЛЯ КЛАССА АIII, ДИАМЕТРОМ 20-22ММ</t>
  </si>
  <si>
    <t>АРМАТУРА ДЛЯ МОНОЛИТНЫХ Ж/Б КОНСТРУКЦИИ В ВИДЕ СЕТОК И ПЛОСКИХ КАРКАСОВ, ПЕРИОДИЧЕСКОГО ПРОФИЛЯ КЛАССА АIII, ДИАМЕТРОМ 12ММ ВЫПУСКИ</t>
  </si>
  <si>
    <t>АРМАТУРА ДЛЯ МОНОЛИТНЫХ Ж/Б КОНСТРУКЦИИ В ВИДЕ ПРОСТРАНСТВЕННЫХ КАРКАСОВ, ГЛАДКАЯ КЛАССА АI, ДИАМЕТРОМ 6ММ</t>
  </si>
  <si>
    <t>АРМАТУРА ДЛЯ МОНОЛИТНЫХ Ж/Б КОНСТРУКЦИИ В ВИДЕ ПРОСТРАНСТВЕННЫХ КАРКАСОВ, ПЕРИОДИЧЕСКОГО ПРОФИЛЯ КЛАССА АIII, ДИАМЕТРОМ 25-28ММ ВЫПУСКИ</t>
  </si>
  <si>
    <t>АРМАТУРА ДЛЯ МОНОЛИТНЫХ Ж/Б КОНСТРУКЦИИ В ВИДЕ ПРОСТРАНСТВЕННЫХ КАРКАСОВ, ГЛАДКАЯ КЛАССА АI, ДИАМЕТРОМ 8ММ ВЫПУСКИ</t>
  </si>
  <si>
    <t>Е0705-001-01</t>
  </si>
  <si>
    <t>УСТАНОВКА БЛОКОВ СТЕН ПОДВАЛОВ МАССОЙ ДО 0,5 Т. БЕТОН ТЯЖЕЛЫЙ КЛАССА В12,5 /М-150/ ФРАКЦИИ 5-20 ММ</t>
  </si>
  <si>
    <t>100 ШТ СБОРНЫХ КОНСТРУКЦИЙ</t>
  </si>
  <si>
    <t>КРАНЫ НА ГУСЕНИЧНОМ ХОДУ ПРИ РАБОТЕ НА ДРУГИХ ВИДАХ СТРОИТЕЛЬСТВА ДО 16 Т</t>
  </si>
  <si>
    <t>БЕТОН ТЯЖЕЛЫЙ КЛАССА В12,5 /М-150/ ФРАКЦИИ 5-20 ММ</t>
  </si>
  <si>
    <t>РАСТВОР ГОТОВЫЙ КЛАДОЧНЫЙ ЦЕМЕНТНЫЙ, МАРКА 100</t>
  </si>
  <si>
    <t>ФУНДАМЕНТНЫЕ БЛОКИ ФБС 9.4.6 Т</t>
  </si>
  <si>
    <t>Е0705-001-02</t>
  </si>
  <si>
    <t>УСТАНОВКА БЛОКОВ СТЕН ПОДВАЛОВ МАССОЙ ДО 1 Т. БЕТОН ТЯЖЕЛЫЙ КЛАССА В12,5 /М-150/ ФРАКЦИИ 5-20 ММ</t>
  </si>
  <si>
    <t>ФУНДАМЕНТНЫЕ БЛОКИ ФБС 12.4.6 Т</t>
  </si>
  <si>
    <t>Е0705-001-03</t>
  </si>
  <si>
    <t>УСТАНОВКА БЛОКОВ СТЕН ПОДВАЛОВ МАССОЙ ДО 1,5 Т. БЕТОН ТЯЖЕЛЫЙ КЛАССА В12,5 /М-150/ ФРАКЦИИ 5-20 ММ</t>
  </si>
  <si>
    <t>ФУНДАМЕНТНЫЕ БЛОКИ ФБС 24.4.6 Т</t>
  </si>
  <si>
    <t>Е0601-107-01</t>
  </si>
  <si>
    <t>УСТРОЙСТВО КОЛОНН ЖЕЛЕЗОБЕТОННЫХ В ОПАЛУБКЕ ТИПА "ДОКА" ВЫСОТОЙ ДО 4 М, ПЕРИМЕТРОМ ДО 2 М. БЕТОН ТЯЖЕЛЫЙ КЛАССА В12,5 /М-150/ ФРАКЦИИ 5-20 ММ</t>
  </si>
  <si>
    <t>100 М3 ЖЕЛЕЗОБЕТОНА В ДЕЛЕ</t>
  </si>
  <si>
    <t>АВТОПОГРУЗЧИКИ 5 Т</t>
  </si>
  <si>
    <t>ПИЛА ЭЛЕКТРИЧЕСКАЯ ЦЕПНАЯ</t>
  </si>
  <si>
    <t>ПРОВОЛОКА СВЕТЛАЯ ДИАМЕТРОМ 1,1 ММ</t>
  </si>
  <si>
    <t>ПОЛОТНО ИГЛОПРОБИВНОЕ ДЛЯ ДОРОЖНОГО СТРОИТЕЛЬСТВА "ДОРНИТ-2"</t>
  </si>
  <si>
    <t>10М2</t>
  </si>
  <si>
    <t>ДОСКИ НЕОБРЕЗНЫЕ ДЛИНОЙ 4-6,5 М, ВСЕ ШИРИНЫ, ТОЛЩИНОЙ 44 ММ И БОЛЕЕ II СОРТА</t>
  </si>
  <si>
    <t>ПАЛУБА ОПАЛУБКИ ТИПА "ДОКА" ИЗ БАКЕЛИЗИРОВАННОЙ ФАНЕРЫ</t>
  </si>
  <si>
    <t>Е0603-002-01</t>
  </si>
  <si>
    <t>УСТРОЙСТВО ПОЯСОВ В ОПАЛУБКЕ. БЕТОН ТЯЖЕЛЫЙ КЛАССА В15 /М-200/ ФРАКЦИИ 5-20 ММ</t>
  </si>
  <si>
    <t>БЕТОН ТЯЖЕЛЫЙ КЛАССА В15 /М-200/ ФРАКЦИИ 5-20 ММ</t>
  </si>
  <si>
    <t>ДОСКИ ОБРЕЗНЫЕ ХВОЙНЫХ ПОРОД ДЛИНОЙ 4-6,5 М, ШИРИНОЙ 75-150 ММ, ТОЛЩИНОЙ 44 ММ И БОЛЕЕ, III СОРТА</t>
  </si>
  <si>
    <t>ЩИТЫ ИЗ ДОСОК ТОЛЩИНОЙ 25 ММ</t>
  </si>
  <si>
    <t>КАТАНКА ГОРЯЧЕКАТАНАЯ В МОТКАХ ДИАМЕТРОМ 8 ММ</t>
  </si>
  <si>
    <t>АРМАТУРА ДЛЯ МОНОЛИТНЫХ Ж/Б КОНСТРУКЦИИ В ВИДЕ ПРОСТРАНСТВЕННЫХ КАРКАСОВ, ПЕРИОДИЧЕСКОГО ПРОФИЛЯ КЛАССА АIII, ДИАМЕТРОМ 16-18ММ ОТД.СТЕРЖНИ</t>
  </si>
  <si>
    <t>АРМАТУРА ДЛЯ МОНОЛИТНЫХ Ж/Б КОНСТРУКЦИИ В ВИДЕ ПРОСТРАНСТВЕННЫХ КАРКАСОВ, ПЕРИОДИЧЕСКОГО ПРОФИЛЯ КЛАССА АIII, ДИАМЕТРОМ 20-22ММ ОТД.СТЕРЖНИ</t>
  </si>
  <si>
    <t>АРМАТУРА ДЛЯ МОНОЛИТНЫХ Ж/Б КОНСТРУКЦИИ В ВИДЕ ПРОСТРАНСТВЕННЫХ КАРКАСОВ, ПЕРИОДИЧЕСКОГО ПРОФИЛЯ КЛАССА АIII, ДИАМЕТРОМ 25-28ММ ОТД.СТЕРЖНИ</t>
  </si>
  <si>
    <t>Е0601-037-01</t>
  </si>
  <si>
    <t>КРАНЫ БАШЕННЫЕ ПРИ РАБОТЕ НА ДРУГИХ ВИДАХ СТРОИТЕЛЬСТВА 8 Т</t>
  </si>
  <si>
    <t>ПИЛОМАТЕРИАЛЫ ХВОЙНЫХ ПОРОД ДОСКИ ОБРЕЗНЫЕ ДЛИНОЙ 4-6,5 М, ШИРИНОЙ 75-150 ММ, ТОЛЩИНОЙ 32-40 ММ II СОРТА</t>
  </si>
  <si>
    <t>АРМАТУРА ДЛЯ МОНОЛИТНЫХ Ж/Б КОНСТРУКЦИИ В ВИДЕ ПРОСТРАНСТВЕННЫХ КАРКАСОВ, ГЛАДКАЯ КЛАССА АI, ДИАМЕТРОМ 8ММ</t>
  </si>
  <si>
    <t>АРМАТУРА ДЛЯ МОНОЛИТНЫХ Ж/Б КОНСТРУКЦИИ В ВИДЕ ПРОСТРАНСТВЕННЫХ КАРКАСОВ, ПЕРИОДИЧЕСКОГО ПРОФИЛЯ КЛАССА АIII, ДИАМЕТРОМ 25-28ММ</t>
  </si>
  <si>
    <t>Е0705-045-05</t>
  </si>
  <si>
    <t>УСТАНОВКА ПАНЕЛЕЙ ПЕРЕКРЫТИЙ С ОПИРАНИЕМ НА ДВЕ СТОРОНЫ ПЛОЩАДЬЮ ДО 10 М2. БЕТОН ТЯЖЕЛЫЙ КЛАССА В15 /М-200/ ФРАКЦИИ 5-20 ММ</t>
  </si>
  <si>
    <t>ПИЛОМАТЕРИАЛЫ ХВОЙНЫХ ПОРОД ДОСКИ ОБРЕЗНЫЕ ДЛИНОЙ 4-6,5 М, ШИРИНОЙ 75-150 ММ, ТОЛЩИНОЙ 19-22 ММ III СОРТА</t>
  </si>
  <si>
    <t>КОНСТРУКТИВНЫЕ ЭЛЕМЕНТЫ ВСПОМОГАТЕЛЬНОГО НАЗНАЧЕНИЯ, С ПРЕОБЛАДАНИЕМ ПРОФИЛЬНОГО ПРОКАТА СОБИРАЕМЫЕ ИЗ ДВУХ И БОЛЕЕ ДЕТАЛЕЙ, С ОТВЕРСТИЯМИ И БЕЗ ОТВЕРСТИЙ, СОЕДИНЯЕМЫЕ НА СВАРКЕ</t>
  </si>
  <si>
    <t>АРМАТУРА ДЛЯ МОНОЛИТНЫХ Ж/Б КОНСТРУКЦИИ В ВИДЕ СЕТОК И ПЛОСКИХ КАРКАСОВ, ПЕРИОДИЧЕСКОГО ПРОФИЛЯ КЛАССА АIII, ДИАМЕТРОМ 12ММ</t>
  </si>
  <si>
    <t>Е56-023-01</t>
  </si>
  <si>
    <t>ОБРАМЛЕНИЕ ПРОЕМОВ УГЛОВОЙ СТАЛЬЮ</t>
  </si>
  <si>
    <t>ЭЛЕКТРОДЫ ДИАМЕТРОМ 6 ММ Э42</t>
  </si>
  <si>
    <t>УГОЛОК 50Х50Х3ММ</t>
  </si>
  <si>
    <t>Е0802-007-01</t>
  </si>
  <si>
    <t>АРМИРОВАНИЕ КЛАДКИ СТЕН И ДРУГИХ КОНСТРУКЦИЙ. ПРОВОЛОКА ВР 1 Д-5 ММ</t>
  </si>
  <si>
    <t>ПРОВОЛОКА ВР 1 Д-5 ММ</t>
  </si>
  <si>
    <t>100 М2</t>
  </si>
  <si>
    <t>СМЕСЬ РАСТВОРНАЯ СУХАЯ</t>
  </si>
  <si>
    <t>ГОРЯЧЕКАТАНАЯ АРМАТУРНАЯ СТАЛЬ ПЕРИОДИЧЕСКОГО ПРОФИЛЯ КЛАССА А-III ДИАМЕТРОМ 10 ММ</t>
  </si>
  <si>
    <t>Е0804-003-01</t>
  </si>
  <si>
    <t>КЛАДКА ПЕРЕГОРОДОК ИЗ ГАЗОБЕТОННЫХ БЛОКОВ НА КЛЕЕ ТОЛЩИНОЙ 100 ММ ПРИ ВЫСОТЕ ЭТАЖА ДО 4 М</t>
  </si>
  <si>
    <t>БЛОКИ ИЗ ГАЗОБЕТОНА СТЕНОВЫЕ ТОЛЩИНОЙ 100 ММ</t>
  </si>
  <si>
    <t>Е0803-007-01</t>
  </si>
  <si>
    <t>М3 КЛАДКИ</t>
  </si>
  <si>
    <t>БЛОКИ ИЗ ГАЗОБЕТОНА СТЕНОВЫЕ ТОЛЩИНОЙ 300 ММ</t>
  </si>
  <si>
    <t>УСТРОЙСТВО МЕТАЛЛ.СТОЕК ИЗ УГОЛКОВ И ЛИСТОВОЙ СТАЛИ</t>
  </si>
  <si>
    <t>ЛИСТОВАЯ СТАЛЬ 100Х6ММ</t>
  </si>
  <si>
    <t>САМОАНКЕРИРУЮЩИЕСЯ РАСПОРНЫЙ БОЛТ БСР 10Х100</t>
  </si>
  <si>
    <t>Е0802-001-01</t>
  </si>
  <si>
    <t>КЛАДКА СТЕН КИРПИЧНЫХ НАРУЖНЫХ ПРОСТЫХ ПРИ ВЫСОТЕ ЭТАЖА ДО 4 М. ИЗ КИРПИЧА РАЗМЕРОМ 250Х120Х88 ММ, ПРИМЕНЕНЫ КОЭФФИЦИЕНТЫ К НОРМАМ РАСХОДА КИРПИЧА - 0,77, РАСТВОРА - 0,9. КИРПИЧ МАРКИ 100. РАСТВОР МАРКИ 50</t>
  </si>
  <si>
    <t>КИРПИЧ ГЛИНЯНЫЙ ОБЫКНОВЕННЫЙ МАРКИ 100</t>
  </si>
  <si>
    <t>1000ШТ</t>
  </si>
  <si>
    <t>БРУСКИ ОБРЕЗНЫЕ ХВОЙНЫХ ПОРОД ДЛИНОЙ 4-6,5 М, ШИРИНОЙ 75-150 ММ, ТОЛЩИНОЙ 40-75 ММ, IV СОРТА</t>
  </si>
  <si>
    <t>ЛИСТОВАЯ СТАЛЬ 150Х6ММ</t>
  </si>
  <si>
    <t>ДЕТАЛИ ЗАКЛАДНЫЕ И НАКЛАДНЫЕ</t>
  </si>
  <si>
    <t>ВЕНТИЛЯЦИОННЫЕ ШАХТЫ В КРОВЕЛЬНОЙ ЧАСТИ</t>
  </si>
  <si>
    <t>ЛИСТОВАЯ СТАЛЬ 120Х3ММ</t>
  </si>
  <si>
    <t>Е1201-10-1</t>
  </si>
  <si>
    <t>УСТРОЙСТВО ПОКРЫТИЯ ВЕНТИЛЯЦИОННОЙ ШАХТЫ ИЗ ОЦИНК.СТАЛИ ТОЛЩ.0,5ММ СТАЛЬ ОЦИНКОВАННАЯ ТОЛЩИНОЙ 0,5 ММ</t>
  </si>
  <si>
    <t>ГВОЗДИ ТОЛЕВЫЕ КРУГЛЫЕ 3,0Х40 ММ</t>
  </si>
  <si>
    <t>ПРОВОЛОКА КАНАТНАЯ ОЦИНКОВАННАЯ ДИАМЕТРОМ 3 ММ</t>
  </si>
  <si>
    <t>СТАЛЬ ОЦИНКОВАННАЯ ТОЛЩИНОЙ 0,5 ММ</t>
  </si>
  <si>
    <t>ЛЕСТНИЦА</t>
  </si>
  <si>
    <t>Е0601-111-01</t>
  </si>
  <si>
    <t>УСТРОЙСТВО ЛЕСТНИЧНЫХ МАРШЕЙ В ОПАЛУБКЕ ТИПА "ДОКА" ПРЯМОУГОЛЬНЫХ. БЕТОН ТЯЖЕЛЫЙ КЛАССА В20 /М-250/ ФРАКЦИИ 5-20 ММ</t>
  </si>
  <si>
    <t>ВИБРАТОРЫ ПОВЕРХНОСТНЫЕ</t>
  </si>
  <si>
    <t>МАСЛА АНТРАЦЕНОВЫЕ</t>
  </si>
  <si>
    <t>БРУСКИ ОБРЕЗНЫЕ ХВОЙНЫХ ПОРОД ДЛИНОЙ 4-6,5 М, ШИРИНОЙ 75-150 ММ, ТОЛЩИНОЙ 40-75 ММ, III СОРТА</t>
  </si>
  <si>
    <t>ДОСКИ ОБРЕЗНЫЕ ХВОЙНЫХ ПОРОД ДЛИНОЙ 4-6,5 М, ШИРИНОЙ 75-150 ММ, ТОЛЩИНОЙ 25 ММ, III СОРТА</t>
  </si>
  <si>
    <t>Е0903-029-01</t>
  </si>
  <si>
    <t>ЭЛЕКТРОДЫ ДИАМЕТРОМ 4 ММ Э46</t>
  </si>
  <si>
    <t>ДИАФРАГМЫ ДФ-1</t>
  </si>
  <si>
    <t>Е0601-108-02</t>
  </si>
  <si>
    <t>УСТРОЙСТВО ПРЯМОЛИНЕЙНЫХ СТЕН ЖЕЛЕЗОБЕТОННЫХ В ОПАЛУБКЕ ТИПА "ДОКА" ВЫСОТОЙ ДО 6 М, ТОЛЩИНОЙ 300 ММ. БЕТОН ТЯЖЕЛЫЙ КЛАССА В20 /М-250/ ФРАКЦИИ 5-20 ММ</t>
  </si>
  <si>
    <t>ЛИФТОВАЯ ШАХТА</t>
  </si>
  <si>
    <t>Е1101-2-3</t>
  </si>
  <si>
    <t>УСТРОЙСТВО ПОДСТИЛАЮЩИХ СЛОЕВ ГРАВИЙНЫХ</t>
  </si>
  <si>
    <t>ТРАМБОВКИ ПНЕВМАТИЧЕСКИЕ</t>
  </si>
  <si>
    <t>ГРАВИЙ ДЛЯ СТРОИТЕЛЬНЫХ РАБОТ ФРАКЦИИ 20-40 ММ</t>
  </si>
  <si>
    <t>Е0601-056-01</t>
  </si>
  <si>
    <t>БЕТОНИРОВАНИЕ СТЕН ШАХТ ЛИФТОВЫХ. БЕТОН ТЯЖЕЛЫЙ КЛАССА В22,5 /М-300/ ФРАКЦИИ 5-20 ММ</t>
  </si>
  <si>
    <t>БЕТОН ТЯЖЕЛЫЙ КЛАССА В22,5 /М-300/ ФРАКЦИИ 5-20 ММ</t>
  </si>
  <si>
    <t>РАСТВОР ГОТОВЫЙ ОТДЕЛОЧНЫЙ ТЯЖЕЛЫЙ, ЦЕМЕНТНЫЙ: 1:2</t>
  </si>
  <si>
    <t>СОРТОВОЙ И ФАСОННЫЙ ГОРЯЧЕКАТАНЫЙ ПРОКАТ ИЗ СТАЛИ УГЛЕРОДИСТОЙ ОБЫКНОВЕННОГО КАЧЕСТВА УГЛОВОЙ РАВНОПОЛОЧНЫЙ, ТОЛЩИНОЙ 11-30 ММ, ПРИ ШИРИНЕ ПОЛКИ 180-200 ММ СТАЛЬ МАРКИ СТ0</t>
  </si>
  <si>
    <t>ПИЛОМАТЕРИАЛЫ ХВОЙНЫХ ПОРОД БРУСЬЯ ОБРЕЗНЫЕ ДЛИНОЙ 4-6,5 М, ШИРИНОЙ 75-150 ММ, ТОЛЩИНОЙ 150 ММ И БОЛЕЕ I СОРТА</t>
  </si>
  <si>
    <t>КРЫЛЬЦО</t>
  </si>
  <si>
    <t>Е0601-022-06</t>
  </si>
  <si>
    <t>УСТРОЙСТВО МОНОЛИТНЫХ ЖЕЛЕЗОБЕТОННЫХ КРЫЛЕЦ. БЕТОН ТЯЖЕЛЫЙ КЛАССА В15 /М-200/ ФРАКЦИИ 5-20 ММ</t>
  </si>
  <si>
    <t>ПРОВОЛОКА ВЯЗАЛЬНАЯ</t>
  </si>
  <si>
    <t>АРМАТУРА ДЛЯ МОНОЛИТНЫХ Ж/Б КОНСТРУКЦИИ В ВИДЕ СЕТОК И ПЛОСКИХ КАРКАСОВ, ПЕРИОДИЧЕСКОГО ПРОФИЛЯ КЛАССА АIII, ДИАМЕТРОМ 10ММ</t>
  </si>
  <si>
    <t>Е0801-002-02</t>
  </si>
  <si>
    <t>УСТРОЙСТВО ОСНОВАНИЯ ПОД ФУНДАМЕНТЫ ЩЕБЕНОЧНОГО</t>
  </si>
  <si>
    <t>М3 ОСНОВАНИЯ</t>
  </si>
  <si>
    <t>АВТОПОГРУЗЧИКИ ПРИ РАБОТЕ НА ДРУГИХ ВИДАХ СТРОИТЕЛЬСТВА 3 Т</t>
  </si>
  <si>
    <t>ЩЕБЕНЬ</t>
  </si>
  <si>
    <t>КРОВЛЯ</t>
  </si>
  <si>
    <t>УТЕПЛЕНИЕ КРОВЛИ ПЛИТАМИ ИЗ МИНЕРАЛЬНОЙ ВАТЫ WOOLAN ПО БЕТОННОМУ ОСНОВАНИЮ</t>
  </si>
  <si>
    <t>100 М2 УТЕПЛЯЕМОГО ПОКРЫТИЯ</t>
  </si>
  <si>
    <t>ПЕСКОБЕТОН КЛАССА В15 /М-200/</t>
  </si>
  <si>
    <t>ПЛИТЫ ИЗ МИНЕРАЛЬНОЙ ВАТЫ WOOLAN, РАЗМЕР И ТОЛЩИНА ПО ПРОЕКТУ</t>
  </si>
  <si>
    <t>ПЛЕНКА ПАРОИЗОЛЯЦИОННАЯ</t>
  </si>
  <si>
    <t>ПЛЕНКА-МЕМБРАНА, МАРКА ПО ПРОЕКТУ</t>
  </si>
  <si>
    <t>СЕТКА БАЗАЛЬТОВАЯ 150Х150 ДИАМЕТРОМ 4,0 ММ</t>
  </si>
  <si>
    <t>Е1001-010-01</t>
  </si>
  <si>
    <t>М3 ДРЕВЕСИНЫ В КОНСТРУКЦИИ</t>
  </si>
  <si>
    <t>БЕНЗОПИЛЫ</t>
  </si>
  <si>
    <t>БРУСКИ ОБРЕЗНЫЕ ХВОЙНЫХ ПОРОД ДЛИНОЙ 4-6,5 М, ШИРИНОЙ 75-150 ММ, ТОЛЩИНОЙ 100, 125 ММ, II СОРТА</t>
  </si>
  <si>
    <t>ДОСКИ ОБРЕЗНЫЕ ХВОЙНЫХ ПОРОД ДЛИНОЙ 4-6,5 М, ШИРИНОЙ 75-150 ММ, ТОЛЩИНОЙ 44 ММ И БОЛЕЕ, II СОРТА</t>
  </si>
  <si>
    <t>ДОСКИ НЕОБРЕЗНЫЕ ДЛИНОЙ 4-6,5 М, ВСЕ ШИРИНЫ, ТОЛЩИНОЙ 32-40 ММ III СОРТА</t>
  </si>
  <si>
    <t>ПАСТА АНТИСЕПТИЧЕСКАЯ</t>
  </si>
  <si>
    <t>Е1001-002-01</t>
  </si>
  <si>
    <t>УСТАНОВКА СТРОПИЛ</t>
  </si>
  <si>
    <t>БРУСКИ ОБРЕЗНЫЕ ХВОЙНЫХ ПОРОД ДЛИНОЙ 4-6,5 М, ШИРИНОЙ 75-150 ММ, ТОЛЩИНОЙ 40-75 ММ, II СОРТА</t>
  </si>
  <si>
    <t>ПИЛОМАТЕРИАЛЫ ХВОЙНЫХ ПОРОД ДОСКИ ОБРЕЗНЫЕ ДЛИНОЙ 4-6,5 М, ШИРИНОЙ 75-150 ММ, ТОЛЩИНОЙ 44 ММ И БОЛЕЕ I СОРТА</t>
  </si>
  <si>
    <t>Е1203-004-01</t>
  </si>
  <si>
    <t>100 М2 КРОВЛИ</t>
  </si>
  <si>
    <t>ВИНТЫ САМОНАРЕЗАЮЩИЕ С УПЛОТНИТЕЛЬНОЙ ПРОКЛАДКОЙ 4,8X35</t>
  </si>
  <si>
    <t>ВИНТЫ САМОНАРЕЗАЮЩИЕ С УПЛОТНИТЕЛЬНОЙ ПРОКЛАДКОЙ 4,8X80</t>
  </si>
  <si>
    <t>ПИЛЫ ДИСКОВЫЕ ЭЛЕКТРИЧЕСКИЕ</t>
  </si>
  <si>
    <t>Е1201-9-2</t>
  </si>
  <si>
    <t>УСТРОЙСТВО ЖЕЛОБОВ ПОДВЕСНЫХ ЖЕЛОБА</t>
  </si>
  <si>
    <t>ГВОЗДИ ПРОВОЛОЧНЫЕ ОЦИНКОВАННЫЕ ДЛЯ АСБЕСТОЦЕМЕНТНОЙ КРОВЛИ 4,5Х120 ММ</t>
  </si>
  <si>
    <t>ЖЕЛОБА</t>
  </si>
  <si>
    <t>Е1201-8-3</t>
  </si>
  <si>
    <t>НАВЕСКА ВОДОСТОЧНЫХ ТРУБ ПО СТЕНАМ ИЗ КИРПИЧА ИЛИ ЛЕГКОГО БЕТОНА, ДИАМЕТРОМ ДО: 140 ММ</t>
  </si>
  <si>
    <t>100М ТРУБ</t>
  </si>
  <si>
    <t>ТРУБЫ ВОДОСТОЧНЫЕ</t>
  </si>
  <si>
    <t>НАРУЖНАЯ ОТДЕЛКА</t>
  </si>
  <si>
    <t>100М2 ОШТУКАТУРИВАЕМОЙ ПОВЕРХНОСТИ</t>
  </si>
  <si>
    <t>РАСТВОР ОТДЕЛОЧНЫЙ ТЯЖЕЛЫЙ ИЗВЕСТКОВЫЙ 1:2,5</t>
  </si>
  <si>
    <t>ГВОЗДИ СТРОИТЕЛЬНЫЕ С ПЛОСКОЙ ГОЛОВКОЙ 1,6Х50 ММ</t>
  </si>
  <si>
    <t>СЕТКА ТКАНАЯ С КВАДРАТНЫМИ ЯЧЕЙКАМИ N 05 БЕЗ ПОКРЫТИЯ</t>
  </si>
  <si>
    <t>ПОРТЛАНДЦЕМЕНТ ОБЩЕСТРОИТЕЛЬНОГО НАЗНАЧЕНИЯ БЕЗДОБАВОЧНЫЙ МАРКИ 400</t>
  </si>
  <si>
    <t>100М2 ПОВЕРХНОСТИ ОБЛИЦОВКИ</t>
  </si>
  <si>
    <t>ПЕСОК ДЛЯ СТРОИТЕЛЬНЫХ РАБОТ</t>
  </si>
  <si>
    <t>РАСТВОР ЦЕМЕНТНО-ИЗВЕСТКОВЫЙ 1:1:6</t>
  </si>
  <si>
    <t>Е1502-001-01</t>
  </si>
  <si>
    <t>ЛЕБЕДКИ ЭЛЕКТРИЧЕСКИЕ, ТЯГОВЫМ УСИЛИЕМ ДО 12,26 (1,25) КН (Т)</t>
  </si>
  <si>
    <t>РАСТВОРОНАСОСЫ 3 М3/Ч</t>
  </si>
  <si>
    <t>Е2601-046-01</t>
  </si>
  <si>
    <t>НАРУЖНАЯ ТЕПЛОИЗОЛЯЦИЯ ФАСАДА ЗДАНИЙ ПЛИТАМИ ИЗ МИНЕРАЛЬНОЙ ВАТЫ WOOLAN СУХАЯ ШТУКАТУРНАЯ СМЕСЬ ИЗ КЛЕЕВОГО РАСТВОРА</t>
  </si>
  <si>
    <t>МАШИНЫ ШЛИФОВАЛЬНЫЕ УГЛОВЫЕ</t>
  </si>
  <si>
    <t>ШУРУПОВЕРТЫ СТРОИТЕЛЬНО-МОНТАЖНЫЕ</t>
  </si>
  <si>
    <t>АВТОМОБИЛИ БОРТОВЫЕ ГРУЗОПОДЪЕМНОСТЬЮ ДО 15 Т</t>
  </si>
  <si>
    <t>СМЕСЬ СУХАЯ РАСТВОРНАЯ ЦЕМЕНТНАЯ</t>
  </si>
  <si>
    <t>СУХАЯ ШТУКАТУРНАЯ СМЕСЬ ИЗ КЛЕЕВОГО РАСТВОРА</t>
  </si>
  <si>
    <t>КЛЕЙ ДЛЯ ПРИКЛЕИВАНИЯ ФАСАДНЫХ МИНЕРАЛОВАТНЫХ ПЛИТ К БЕТОННЫМ ИЛИ КИРПИЧНЫМ СТЕНАМ</t>
  </si>
  <si>
    <t>ДЮБЕЛИ ДЛЯ УТЕПЛИТЕЛЯ (ТАРЕЛЬЧАТЫЙ ДЮБЕЛЬ "ЗОНТ") -120ММ</t>
  </si>
  <si>
    <t>КЛЕЙ ДЛЯ ПРИКЛЕИВАНИЯ СТЕКЛО-СЕТКИ АРМИРУЮЩАЯ 5Х5ММ</t>
  </si>
  <si>
    <t>УГОЛОК ПВХ С АРМИРУЮЩЕЙ СЕТКОЙ ДЛИНА УГОЛКА 2.7 МЕТР</t>
  </si>
  <si>
    <t>ПЛИТЫ ИЗ КАМЕННОЙ ВАТЫ (БАЗАЛЬТ) ДЛЯ ФАСАДА BASALT WOOL FASADE STANDART, РАЗМЕР ПЛИТЫ 1200Х600, ТОЛЩИНА 80 ММ 120КГ/М3</t>
  </si>
  <si>
    <t>СТЕКЛО-СЕТКА АРМИРУЮЩАЯ 5Х5ММ</t>
  </si>
  <si>
    <t>Е1201-008-02</t>
  </si>
  <si>
    <t>100М2 ФАСАДА (БЕЗ ВЫЧЕТА ПРОЕМОВ)</t>
  </si>
  <si>
    <t>СТАЛЬ ОЦИНКОВАННАЯ ТОЛЩИНОЙ 0,4 ММ</t>
  </si>
  <si>
    <t>ШКУРКА ШЛИФОВАЛЬНАЯ ДВУХСЛОЙНАЯ С ЗЕРНИСТОСТЬЮ 40/25</t>
  </si>
  <si>
    <t>СТЕНЫ</t>
  </si>
  <si>
    <t>Е1502-016-07 ДОП. 12 МИНСТРОЙ РУЗ N 519 ОТ 18.11.2019 Г.</t>
  </si>
  <si>
    <t>ОШТУКАТУРИВАНИЕ ПОВЕРХНОСТЕЙ ЦЕМЕНТНЫМ РАСТВОРОМ ПО КАМНЮ И БЕТОНУ ПРОСТОЕ СТЕН</t>
  </si>
  <si>
    <t>РАСТВОРОНАСОСЫ 1 М3/Ч</t>
  </si>
  <si>
    <t>РАСТВОР ЦЕМЕНТНЫЙ 1:3</t>
  </si>
  <si>
    <t>СПЛОШНОЕ ВЫРАВНИВАНИЕ ПОВЕРХНОСТЕЙ (ОДНОСЛОЙНАЯ ШТУКАТУРКА) ГИПСОВЫМИ СУХИМИ СМЕСЯМИ: ТОЛЩИНОЙ ДО 10 ММ СТЕН</t>
  </si>
  <si>
    <t>СМЕСЬ СУХАЯ ГИПСОВАЯ</t>
  </si>
  <si>
    <t>ГРУНТОВКА</t>
  </si>
  <si>
    <t>ВЫЧИТАЕТСЯ ПОЗИЦИЯ: НА КАЖДЫЙ ММ ИЗМЕНЕНИЯ ТОЛЩИНЫ ИСКЛЮЧАЕТСЯ СТЕН</t>
  </si>
  <si>
    <t>Е1504-005-05 ДОП. 4</t>
  </si>
  <si>
    <t>ОКРАСКА ПОЛИВИНИЛАЦЕТАТНЫМИ ВОДОЭМУЛЬСИОННЫМИ СОСТАВАМИ УЛУЧШЕННАЯ ПО СБОРНЫМ КОНСТРУКЦИЯМ, ПОДГОТОВЛЕННЫМ ПОД ОКРАСКУ СТЕН</t>
  </si>
  <si>
    <t>100М2 ОКРАШИВАЕМОЙ ПОВЕРХНОСТИ</t>
  </si>
  <si>
    <t>КРАСКИ ВОДОЭМУЛЬСИОННЫЕ</t>
  </si>
  <si>
    <t>ШПАТЛЕВКА КЛЕЕВАЯ</t>
  </si>
  <si>
    <t>ПОТОЛКИ</t>
  </si>
  <si>
    <t>Е1502-019-08 ДОП. 12 МИНСТРОЙ РУЗ N 519 ОТ 18.11.2019 Г.</t>
  </si>
  <si>
    <t>СПЛОШНОЕ ВЫРАВНИВАНИЕ ПОВЕРХНОСТЕЙ (ОДНОСЛОЙНАЯ ШТУКАТУРКА) ГИПСОВЫМИ СУХИМИ СМЕСЯМИ: ТОЛЩИНОЙ ДО 10 ММ ПОТОЛКОВ</t>
  </si>
  <si>
    <t>Е1504-005-06 ДОП. 4</t>
  </si>
  <si>
    <t>ОКРАСКА ПОЛИВИНИЛАЦЕТАТНЫМИ ВОДОЭМУЛЬСИОННЫМИ СОСТАВАМИ УЛУЧШЕННАЯ ПО СБОРНЫМ КОНСТРУКЦИЯМ, ПОДГОТОВЛЕННЫМ ПОД ОКРАСКУ ПОТОЛКОВ</t>
  </si>
  <si>
    <t>ГЛАДКАЯ ОБЛИЦОВКА СТЕН, СТОЛБОВ, ПИЛЯСТР И ОТКОСОВ [БЕЗ КАРНИЗНЫХ, ПЛИНТУСНЫХ И УГЛОВЫХ ПЛИТОК] БЕЗ УСТАНОВКИ ПЛИТОК ТУАЛЕТНОГО ГАРНИТУРА НА КЛЕЕ ИЗ СУХИХ СМЕСЕЙ ПО КИРПИЧУ И БЕТОНУ</t>
  </si>
  <si>
    <t>РАСТВОРОСМЕСИТЕЛИ ПЕРЕДВИЖНЫЕ 65 Л</t>
  </si>
  <si>
    <t>КЛЕЙ ДЛЯ ОБЛИЦОВОЧНЫХ РАБОТ (СУХАЯ СМЕСЬ)</t>
  </si>
  <si>
    <t>ПЛИТКИ РЯДОВЫЕ</t>
  </si>
  <si>
    <t>СМЕСЬ СУХАЯ ДЛЯ ЗАДЕЛКИ ШВОВ</t>
  </si>
  <si>
    <t>РАСТВОРОМЕШАЛКИ ДЛЯ ПРИГОТОВЛЕНИЯ ВОДОЦЕМЕНТНЫХ И ДРУГИХ РАСТВОРОВ 350 Л</t>
  </si>
  <si>
    <t>СТАНОК КАМНЕРЕЗНЫЙ УНИВЕРСАЛЬНЫЙ</t>
  </si>
  <si>
    <t>Е1101-011-01</t>
  </si>
  <si>
    <t>УСТРОЙСТВО СТЯЖЕК ЦЕМЕНТНЫХ ТОЛЩИНОЙ 20 ММ. РАСТВОР ГОТОВЫЙ КЛАДОЧНЫЙ ТЯЖЕЛЫЙ ЦЕМЕНТНЫЙ, МАРКА: 100</t>
  </si>
  <si>
    <t>РАСТВОР ГОТОВЫЙ КЛАДОЧНЫЙ ТЯЖЕЛЫЙ ЦЕМЕНТНЫЙ, МАРКА: 100</t>
  </si>
  <si>
    <t>УСТРОЙСТВО СТЯЖЕК ЦЕМЕНТНЫХ НА КАЖДЫЕ 5 ММ ИЗМЕНЕНИЯ ТОЛЩИНЫ СТЯЖКИ ДОБАВЛЯТЬ К НОРМЕ 11-01-011-01. РАСТВОР ГОТОВЫЙ КЛАДОЧНЫЙ ТЯЖЕЛЫЙ ЦЕМЕНТНЫЙ, МАРКА: 100</t>
  </si>
  <si>
    <t>Е2601-55-2</t>
  </si>
  <si>
    <t>УСТАНОВКА ПАРОИЗОЛЯЦИОННОГО СЛОЯ ИЗ ПЛЕНКИ ПОЛИЭТИЛЕНОВОЙ (БЕЗ СТЕКЛОВОЛОКНИСТЫХ МАТЕРИАЛОВ)</t>
  </si>
  <si>
    <t>100 М2 ПОВЕРХНОСТИ ПОКРЫТИЯ ИЗОЛЯЦИИ</t>
  </si>
  <si>
    <t>ПЛЕНКА ПОЛИЭТИЛЕНОВАЯ</t>
  </si>
  <si>
    <t>Е1501-043-01 МИНСТРОЙ РУЗ 05.01.21 N 2</t>
  </si>
  <si>
    <t>ОБЛИЦОВКА ЛЕСТНИЧНЫХ ПЛОЩАДОК И МАРШЕЙ КЕРАМОГРАНИТНЫМИ ПЛИТАМИ. ПЛИТЫ КЕРАМОГРАНИТНЫЕ 400Х400</t>
  </si>
  <si>
    <t>ПЛИТЫ КЕРАМОГРАНИТНЫЕ 400Х400</t>
  </si>
  <si>
    <t>Е1101-011-02 К=2</t>
  </si>
  <si>
    <t>Е1101-034-08</t>
  </si>
  <si>
    <t>УКЛАДКА ЛАМИНИРОВАННОГО НАПОЛЬНОГО ПОКРЫТИЯ, "ПЛАВАЮЩИМ" СПОСОБОМ, ТИПА PERGO БЕЗ КЛЕЯ</t>
  </si>
  <si>
    <t>КЛИНЬЯ ДЕРЕВЯННЫЕ</t>
  </si>
  <si>
    <t>ЗВУКОИЗОЛЯЦИОННАЯ ПОДЛОЖКА ПОД ПАРКЕТ 2 ММ</t>
  </si>
  <si>
    <t>ЛАМИНИРОВАННОЕ НАПОЛЬНОЕ ПОКРЫТИЕ ТИПА PERGO</t>
  </si>
  <si>
    <t>Е1101-056-02</t>
  </si>
  <si>
    <t>УСТРОЙСТВО ПОКРЫТИЙ НАЛИВНЫХ СОСТАВОМ ИЗ СУХИХ СМЕСЕЙ ТОЛЩИНОЙ 5 ММ</t>
  </si>
  <si>
    <t>100 М2 ПОЛА</t>
  </si>
  <si>
    <t>СУХАЯ РАСТВОРНАЯ СМЕСЬ ДЛЯ УСТРОЙСТВА НАЛИВНОГО ПОЛА (ПО ПРОЕКТУ)</t>
  </si>
  <si>
    <t>Е1101-056-03 К=5</t>
  </si>
  <si>
    <t>НА КАЖДЫЙ ПОСЛЕДУЮЩИЙ СЛОЙ ТОЛЩИНОЙ 1 ММ ДОБАВЛЯТЬ СВЕРХ 5 ММ</t>
  </si>
  <si>
    <t>БАЗАЛЬТОВАЯ КОМПОЗИТНАЯ АРМОСЕТКА ДИАМЕТРОМ 4 ММ, ШАГ: 150Х150ММ</t>
  </si>
  <si>
    <t>Е1101-009-01</t>
  </si>
  <si>
    <t>УСТРОЙСТВО ТЕПЛО- И ЗВУКОИЗОЛЯЦИИ СПЛОШНОЙ ИЗ ПЛИТ ИЛИ МАТОВ МИНЕРАЛОВАТНЫХ ИЛИ СТЕКЛОВОЛОКНИСТЫХ</t>
  </si>
  <si>
    <t>ПЕНОПОЛИСТИРОЛЬНАЯ ТЕПЛОИЗОЛЯЦИЯ "ПЕНОПЛЕКС" (ПЛИТЫ), ТЕПЛОПРОВОДНОСТЬ 0,034, ПЛОТНОСТЬ ОТ 20 КГ/М3, ДЛИНА 1185 ММ, ШИРИНА 585 ММ, ТОЛЩИНА 30 ММ (В УПАКОВКЕ 13 ШТ, 9,01 М2)</t>
  </si>
  <si>
    <t>Е1101-004-01</t>
  </si>
  <si>
    <t>УСТРОЙСТВО ГИДРОИЗОЛЯЦИИ ОКЛЕЕЧНОЙ РУЛОННЫМИ МАТЕРИАЛАМИ НА МАСТИКЕ БИТУМИНОЛЬ ПЕРВЫЙ СЛОЙ</t>
  </si>
  <si>
    <t>БИТУМЫ НЕФТЯНЫЕ СТРОИТЕЛЬНЫЕ МАРКИ БН-90/10</t>
  </si>
  <si>
    <t>БИТУМЫ НЕФТЯНЫЕ СТРОИТЕЛЬНЫЕ МАРКИ БН-70/30</t>
  </si>
  <si>
    <t>БЕНЗИН РАСТВОРИТЕЛЬ</t>
  </si>
  <si>
    <t>МАТЕРИАЛ РУЛОННЫЙ</t>
  </si>
  <si>
    <t>Е1101-027-06</t>
  </si>
  <si>
    <t>УСТРОЙСТВО ПОКРЫТИЙ НА РАСТВОРЕ ИЗ СУХОЙ СМЕСИ С ПРИГОТОВЛЕНИЕМ РАСТВОРА В ПОСТРОЕЧНЫХ УСЛОВИЯХ ИЗ ГЛАДКИХ НЕГЛАЗУРИРОВАННЫХ КЕРАМИЧЕСКИХ ПЛИТОК ДЛЯ ПОЛОВ ОДНОЦВЕТНЫХ</t>
  </si>
  <si>
    <t>ПЛИТКИ КЕРАМИЧЕСКИЕ ДЛЯ ПОЛОВ ГЛАДКИЕ НЕГЛАЗУРОВАННЫЕ ОДНОЦВЕТНЫЕ С КРАСИТЕЛЕМ КВАДРАТНЫЕ И ПРЯМОУГОЛЬНЫЕ</t>
  </si>
  <si>
    <t>КЛЕЙ ПЛИТОЧНЫЙ "СТАРАТЕЛЬ-СТАНДАРТ"</t>
  </si>
  <si>
    <t>ЗАТИРКА "СТАРАТЕЛИ" (РАЗНОЙ ЦВЕТНОСТИ)</t>
  </si>
  <si>
    <t>ПРОЕМЫ</t>
  </si>
  <si>
    <t>Е904-14-2</t>
  </si>
  <si>
    <t>УСТАНОВКА МЕТАЛЛИЧЕСКИХ ДВЕРЕЙ С ПОДГОТОВКОЙ ПРОЕМА И УСТАНОВКОЙ НАКЛАДНЫХ И ЗАКЛАДНЫХ ДЕТАЛЕЙ С ПЛОЩАДЬЮ ДВЕРНОГО ПРОЕМА: БОЛЕЕ 2,5 М2</t>
  </si>
  <si>
    <t>ПЕНА МОНТАЖНАЯ (ГЕРМЕТИК ПЕНОПОЛИУРЕТАНОВЫЙ) ДЛЯ ГЕРМЕТИЗАЦИИ СТЫКОВ В БАЛЛОНЧИКЕ ЕМКОСТЬЮ 0,75 Л</t>
  </si>
  <si>
    <t>БЛОКИ ДВЕРНЫЕ МЕТАЛЛИЧЕСКИЕ</t>
  </si>
  <si>
    <t>Е904-14-1</t>
  </si>
  <si>
    <t>УСТАНОВКА МЕТАЛЛИЧЕСКИХ ДВЕРЕЙ С ПОДГОТОВКОЙ ПРОЕМА И УСТАНОВКОЙ НАКЛАДНЫХ И ЗАКЛАДНЫХ ДЕТАЛЕЙ ПЛОЩАДЬЮ ДВЕРНОГО ПРОЕМА: ДО 2,5 М2</t>
  </si>
  <si>
    <t>Е1004-013-01</t>
  </si>
  <si>
    <t>УСТАНОВКА ДВЕРНЫХ БЛОКОВ ИЗ МДФ. БЛОКИ ДВЕРНЫЕ ДЕРЕВЯННЫЕ ФИЛЕНЧАТЫЕ ИЗ МДФ</t>
  </si>
  <si>
    <t>100М2 ПРОЕМОВ</t>
  </si>
  <si>
    <t>БЛОКИ ДВЕРНЫЕ ДЕРЕВЯННЫЕ ФИЛЕНЧАТЫЕ ИЗ МДФ</t>
  </si>
  <si>
    <t>Е1001-034-03ДОП. 11 ГОСАРХИТЕКТСТРОЙ РУЗ ПР. № 429 ОТ 15.12.17 Г.</t>
  </si>
  <si>
    <t>УСТАНОВКА В ЖИЛЫХ И ОБЩЕСТВЕННЫХ ЗДАНИЯХ ОКОННЫХ БЛОКОВ ИЗ ПВХ ПРОФИЛЕЙ: ПОВОРОТНЫХ (ОТКИДНЫХ, ПОВОРОТНО-ОТКИДНЫХ) С ПЛОЩАДЬЮ ПРОЕМА ДО 2 М2 ОДНОСТВОРЧАТЫХ</t>
  </si>
  <si>
    <t>ЛЕНТА БУТИЛОВАЯ</t>
  </si>
  <si>
    <t>БЛОКИ ОКОННЫЕ ПЛАСТИКОВЫЕ</t>
  </si>
  <si>
    <t>ДЮБЕЛЬ-ПРОБКИ ДЛ. 65 ММ</t>
  </si>
  <si>
    <t>ШУРУПЫ-САМОРЕЗЫ 35 ММ</t>
  </si>
  <si>
    <t>Е1001-034-04ДОП. 11 ГОСАРХИТЕКТСТРОЙ РУЗ ПР. № 429 ОТ 15.12.17 Г.</t>
  </si>
  <si>
    <t>УСТАНОВКА В ЖИЛЫХ И ОБЩЕСТВЕННЫХ ЗДАНИЯХ ОКОННЫХ БЛОКОВ ИЗ ПВХ ПРОФИЛЕЙ: ПОВОРОТНЫХ (ОТКИДНЫХ, ПОВОРОТНО-ОТКИДНЫХ) С ПЛОЩАДЬЮ ПРОЕМА БОЛЕЕ 2 М2 ОДНОСТВОРЧАТЫХ</t>
  </si>
  <si>
    <t>Е1001-047-03 ДОП. 4</t>
  </si>
  <si>
    <t>УСТАНОВКА БЛОКОВ ИЗ ПХВ В НАРУЖНЫХ И ВНУТРЕННИХ ДВЕРНЫХ ПРОЕМАХ БАЛКОННЫХ В КАМЕННЫХ СТЕНАХ</t>
  </si>
  <si>
    <t>КЛИНЬЯ ПЛАСТИКОВЫЕ МОНТАЖНЫЕ</t>
  </si>
  <si>
    <t>ЛЕНТА БУТИЛОВАЯ ДИФФУЗИОННАЯ</t>
  </si>
  <si>
    <t>ЛЕНТА БУТИЛОВАЯ ПСУЛ</t>
  </si>
  <si>
    <t>БЛОКИ ДВЕРНЫЕ БАЛКОННЫЕ ПЛАСТИКОВЫЕ</t>
  </si>
  <si>
    <t>ДЮБЕЛИ МОНТАЖНЫЕ 10Х130 (10Х132, 10Х150) ММ</t>
  </si>
  <si>
    <t>Е1001-036-04ДОП. 11 ГОСАРХИТЕКТСТРОЙ РУЗ ПР. № 429 ОТ 15.12.17 Г.</t>
  </si>
  <si>
    <t>УСТАНОВКА В ЖИЛЫХ И ОБЩЕСТВЕННЫХ ЗДАНИЯХ ВИТРАЖЕЙ ИЗ ДЕРЕВО АЛЮМИНИЯ, АЛЮМИНИЯ, МЕТАЛЛОПЛАСТИКА В КАМЕННЫХ СТЕНАХ, ОТКРЫВАЮЩИМИСЯ (ПОВОРОТНЫХ, ОТКИДНЫХ, ПОВОРОТНО-ОТКИДНЫХ): С ПЛОЩАДЬЮ ПРОЕМА ДО 10 М2. ВИТРАЖ ИЗ АЛЮМИНИЕВОГО ПРОФИЛЯ</t>
  </si>
  <si>
    <t>ВИТРАЖ ИЗ АЛЮМИНИЕВОГО ПРОФИЛЯ</t>
  </si>
  <si>
    <t>Е1001-035-01ДОП. 11 ГОСАРХИТЕКТСТРОЙ РУЗ ПР. № 429 ОТ 15.12.17 Г.</t>
  </si>
  <si>
    <t>УСТАНОВКА ПОДОКОННЫХ ДОСОК ИЗ ПВХ В КАМЕННЫХ СТЕНАХ ТОЛЩИНОЙ ДО 0,51 М. ДОСКИ ПОДОКОННЫЕ ИЗ ПВХ</t>
  </si>
  <si>
    <t>ДОСКИ ПОДОКОННЫЕ ИЗ ПВХ</t>
  </si>
  <si>
    <t>объект - Блок №1</t>
  </si>
  <si>
    <t>АРМАТУРА ДЛЯ МОНОЛИТНЫХ Ж/Б КОНСТРУКЦИИ В ВИДЕ ПРОСТРАНСТВЕННЫХ КАРКАСОВ, ПЕРИОДИЧЕСКОГО ПРОФИЛЯ КЛАССА АIII, ДИАМЕТРОМ 20-22ММ ВЫПУСКИ</t>
  </si>
  <si>
    <t>МЕТАЛЛИЧЕСКАЯ СТОЙКА МСТ-3</t>
  </si>
  <si>
    <t>ДИАФРАГМЫ ДФ-2</t>
  </si>
  <si>
    <t>ДИАФРАГМЫ ДФ-3</t>
  </si>
  <si>
    <t>ДИАФРАГМЫ ДФ-4</t>
  </si>
  <si>
    <t>ДИАФРАГМЫ ДФ-5</t>
  </si>
  <si>
    <t>Е705-16-4</t>
  </si>
  <si>
    <t>100М ОГРАЖДЕНИЙ</t>
  </si>
  <si>
    <t>ДОМКРАТЫ ГИДРАВЛИЧЕСКИЕ ГРУЗОПОДЪЕМНОСТЬЮ ДО 100 Т</t>
  </si>
  <si>
    <t>АРМАТУРА ДЛЯ МОНОЛИТНЫХ Ж/Б КОНСТРУКЦИИ В ВИДЕ ПРОСТРАНСТВЕННЫХ КАРКАСОВ, ГЛАДКАЯ КЛАССА АI, ДИАМЕТРОМ 6ММ ВЫПУСКИ</t>
  </si>
  <si>
    <t>КРЕПЕЖНЫЙ ЭЛЕМЕНТ КЭ-1</t>
  </si>
  <si>
    <t>СЕКЦИЯ №1</t>
  </si>
  <si>
    <t>Е0101-197-14 ДОП. 11 ГОСАРХИТЕКТСТРОЙ РУЗ ПР. № 429 ОТ 15.12.17 Г.</t>
  </si>
  <si>
    <t>РАЗРАБОТКА ГРУНТА С ПОГРУЗКОЙ В АВТОМОБИЛИ-САМОСВАЛЫ ЭКСКАВАТОРАМИ ТИПА "ATLAS", "VOLVO", "KOMATSU", "HITACHI", "LIEBHER" С КОВШОМ ВМЕСТИМОСТЬЮ 0,5 (0,46-0,64) М3, ГРУППА ГРУНТОВ 2</t>
  </si>
  <si>
    <t>1000 М3 ГРУНТА</t>
  </si>
  <si>
    <t>ЭКСКАВАТОРЫ НА ГУСЕНИЧНОМ ХОДУ ТИПА "ATLAS", "VOLVO", "KOMATSU", "HITACHI", "LIEBHER" С ЕМКОСТЬЮ КОВША 0,5 М3</t>
  </si>
  <si>
    <t>Е0102-057-02 . ТЧ П.3.187 КЗТР=1,2</t>
  </si>
  <si>
    <t>РАЗРАБОТКА ГРУНТА ВРУЧНУЮ В ТРАНШЕЯХ ГЛУБИНОЙ ДО 2 М БЕЗ КРЕПЛЕНИЙ С ОТКОСАМИ, ГРУППА ГРУНТОВ 2. ДОРАБОТКА ВРУЧНУЮ, ЗАЧИСТКА ДНА И СТЕНОК С ВЫКИДКОЙ ГРУНТА В КОТЛОВАНАХ И ТРАНШЕЯХ, РАЗРАБОТАННЫХ МЕХАНИЗИРОВАННЫМ СПОСОБОМ, ПРИМЕНЕН КОЭФФИЦИЕНТ К НОРМАМ ЗАТРАТ ТРУДА - 1,2</t>
  </si>
  <si>
    <t>100М3</t>
  </si>
  <si>
    <t>Е310-1003 . СРН4.04.06-14 Р.3.Т.7 К=0,41</t>
  </si>
  <si>
    <t>ПЕРЕВОЗКА ГРУЗОВ АВТОМОБИЛЕМ, РАССТОЯНИЕ ПЕРЕВОЗКИ 3 КМ, КЛАСС ГРУЗА 1. ПРИ ПЕРЕВОЗКЕ АВТОСАМОСВАЛАМИ ГРУЗОПОДЪЕМНОСТЬЮ 25, ПРИМЕНЕН КОЭФФИЦИЕНТ К НОРМАМ ЗАТРАТ ТРУДА МАШИНИСТОВ И ЭКСПЛУАТАЦИИ МАШИН - 0,41</t>
  </si>
  <si>
    <t>АВТОМОБИЛИ-САМОСВАЛЫ ГРУЗОПОДЪЕМНОСТЬЮ ДО 25 Т</t>
  </si>
  <si>
    <t>АРМАТУРА ДЛЯ МОНОЛИТНЫХ Ж/Б КОНСТРУКЦИИ В ВИДЕ СЕТОК И ПЛОСКИХ КАРКАСОВ, ПЕРИОДИЧЕСКОГО ПРОФИЛЯ КЛАССА АIII, ДИАМЕТРОМ 14ММ ОТД.СТЕРЖНИ</t>
  </si>
  <si>
    <t>УСТРОЙСТВО ПОЯСОВ В ОПАЛУБКЕ. БЕТОН ТЯЖЕЛЫЙ КЛАССА В12,5 /М-150/ ФРАКЦИИ 5-20 ММ</t>
  </si>
  <si>
    <t>УСТРОЙСТВО КОЛОНН ЖЕЛЕЗОБЕТОННЫХ В ОПАЛУБКЕ ТИПА "ДОКА" ВЫСОТОЙ ДО 4 М, ПЕРИМЕТРОМ ДО 2 М. БЕТОН ТЯЖЕЛЫЙ КЛАССА В22,5 /М-300/ ФРАКЦИИ 5-20 ММ</t>
  </si>
  <si>
    <t>УСТРОЙСТВО РИГЕЛЕЙ ГРАЖДАНСКИХ ЗДАНИЙ КРАНЫ БАШЕННЫЕ ПРИ РАБОТЕ НА ДРУГИХ ВИДАХ СТРОИТЕЛЬСТВА 8 Т БЕТОН ТЯЖЕЛЫЙ КЛАССА В22,5 /М-300/ ФРАКЦИИ 5-20 ММ</t>
  </si>
  <si>
    <t>ЛИСТОВАЯ СТАЛЬ 50Х10 С235</t>
  </si>
  <si>
    <t>ПЕРЕКРЫТИЕ</t>
  </si>
  <si>
    <t>ПЛИТЫ ПЕРЕКРЫТИЙ 1 ПК 74.12-6ШВ С8</t>
  </si>
  <si>
    <t>ПЛИТЫ ПЕРЕКРЫТИЙ 1 ПК 74.10-6ШВ С8</t>
  </si>
  <si>
    <t>ПЛИТЫ ПЕРЕКРЫТИЙ 1 ПК 61.12-6ШВ С8</t>
  </si>
  <si>
    <t>ПЛИТЫ ПЕРЕКРЫТИЙ 1 ПК 61.10-6ШВ С8</t>
  </si>
  <si>
    <t>ПЛИТЫ ПЕРЕКРЫТИЙ 1 ПК 59.12-6ШВ С8</t>
  </si>
  <si>
    <t>ПЛИТЫ ПЕРЕКРЫТИЙ 1 ПК 59.10-6ШВ С8</t>
  </si>
  <si>
    <t>МОНОЛИТНЫЕ УЧАСТКИ МУ-1, МУ-2, МУ-3, МУ-4, МУ-5, МУ-6, МУ-7, МУ-8</t>
  </si>
  <si>
    <t>Е0601-110-07</t>
  </si>
  <si>
    <t>УСТРОЙСТВО БЕЗБАЛОЧНЫХ ПЕРЕКРЫТИЙ И ПОКРЫТИЙ В ОПАЛУБКЕ ТИПА "ДОКА" ТОЛЩИНОЙ БОЛЕЕ 200 ММ НА ВЫСОТЕ ОТ ОПОРНОЙ ПЛОЩАДКИ ДО 6 М. БЕТОН ТЯЖЕЛЫЙ КЛАССА В20 /М-250/ ФРАКЦИИ 5-20 ММ</t>
  </si>
  <si>
    <t>ПЕРЕКРЫТИЕ НА ОТМ.+3,220, +6,520</t>
  </si>
  <si>
    <t>ПЕРЕКРЫТИЕ НА ОТМ.+9,820, +13,120</t>
  </si>
  <si>
    <t>ПЕРЕКРЫТИЕ НА ОТМ.+16,420, +19,720, +23,020, +26,320</t>
  </si>
  <si>
    <t>МОНОЛИТНЫЕ УЧАСТКИ МУ-1, МУ-2, МУ-3, МУ-4, МУ-5, МУ-6, МУ-7, МУ-8, МУ-9</t>
  </si>
  <si>
    <t>ПЛАН ПОКРЫТИЯ НА ОТМ. +29,620</t>
  </si>
  <si>
    <t>Е0903-003-01</t>
  </si>
  <si>
    <t>МОНТАЖ МЕТАЛЛИЧЕСКИХ БАЛОК ИЗ ШВЕЛЛЕРА</t>
  </si>
  <si>
    <t>ШВЕЛЛЕР №12</t>
  </si>
  <si>
    <t>ПЛАН ПОКРЫТИЯ НА ОТМ.+32,420</t>
  </si>
  <si>
    <t>ПЛИТЫ ПЕРЕКРЫТИЙ 1 ПК 52.12-8АIIIВ С9</t>
  </si>
  <si>
    <t>ПЛИТЫ ПЕРЕКРЫТИЙ 1 ПК 52.10-8АIIIВ С9</t>
  </si>
  <si>
    <t>КЛАДКА НАРУЖНЫХ СТЕН ИЗ ГАЗОБЕТОННЫХ БЛОКОВ НА КЛЕЕ БЕЗ ОБЛИЦОВКИ ТОЛЩИНОЙ ДО 400 ММ ПРИ ВЫСОТЕ ЭТАЖА ДО 4 М. БЛОКИ ИЗ ГАЗОБЕТОНА СТЕНОВЫЕ ТОЛЩИНОЙ 300 ММ</t>
  </si>
  <si>
    <t>КЛАДКА ВНУТРЕННИХ СТЕН ИЗ ГАЗОБЕТОННЫХ БЛОКОВ НА КЛЕЕ БЕЗ ОБЛИЦОВКИ ТОЛЩИНОЙ ДО 400 ММ ПРИ ВЫСОТЕ ЭТАЖА ДО 4 М. БЛОКИ ИЗ ГАЗОБЕТОНА СТЕНОВЫЕ ТОЛЩИНОЙ 300 ММ</t>
  </si>
  <si>
    <t>МЕТАЛЛИЧЕСКАЯ СТОЙКА СФ-1</t>
  </si>
  <si>
    <t>УГОЛОК 50Х50Х5ММ</t>
  </si>
  <si>
    <t>ЛИСТОВАЯ СТАЛЬ 50Х4ММ</t>
  </si>
  <si>
    <t>МЕТАЛЛИЧЕСКАЯ СТОЙКА СФ-2</t>
  </si>
  <si>
    <t>МЕТАЛЛИЧЕСКАЯ СТОЙКА СФ-3</t>
  </si>
  <si>
    <t>МЕТАЛЛИЧЕСКАЯ СТОЙКА СФ-4</t>
  </si>
  <si>
    <t>МЕТАЛЛИЧЕСКАЯ СТОЙКА СФ-5</t>
  </si>
  <si>
    <t>МЕТАЛЛИЧЕСКАЯ ПЕРЕМЫЧКА ПР-1</t>
  </si>
  <si>
    <t>ЛИСТОВАЯ СТАЛЬ 80Х50Х4ММ</t>
  </si>
  <si>
    <t>Е0905-011-02</t>
  </si>
  <si>
    <t>ПОСТАНОВКА АНКЕРНЫХ БОЛТОВ В КИРПИЧНЫХ И ЛЕГКОБЕТОННЫХ СТРОИТЕЛЬНЫХ КОНСТРУКЦИЯХ</t>
  </si>
  <si>
    <t>100 Ш</t>
  </si>
  <si>
    <t>АНКЕРНЫЙ БОЛТ С ГАЙКОЙ 10Х100 ММ</t>
  </si>
  <si>
    <t>МЕТАЛЛИЧЕСКАЯ ПЕРЕМЫЧКА ПР-2</t>
  </si>
  <si>
    <t>МЕТАЛЛИЧЕСКАЯ ПЕРЕМЫЧКА ПР-3</t>
  </si>
  <si>
    <t>УГОЛОК 63Х63Х5ММ</t>
  </si>
  <si>
    <t>МЕТАЛЛИЧЕСКАЯ ПЕРЕМЫЧКА ПР-4</t>
  </si>
  <si>
    <t>МЕТАЛЛИЧЕСКАЯ ПЕРЕМЫЧКА ПР-5</t>
  </si>
  <si>
    <t>МЕТАЛЛИЧЕСКАЯ ПЕРЕМЫЧКА ПР-6</t>
  </si>
  <si>
    <t>МЕТАЛЛИЧЕСКИЙ ПОЯС ОПС-1</t>
  </si>
  <si>
    <t>КЛАДКА СТЕН ПАРАПЕТА И ШАХТЫ КИРПИЧНЫХ НАРУЖНЫХ ПРОСТЫХ ПРИ ВЫСОТЕ ЭТАЖА ДО 4 М. ИЗ КИРПИЧА РАЗМЕРОМ 250Х120Х88 ММ, ПРИМЕНЕНЫ КОЭФФИЦИЕНТЫ К НОРМАМ РАСХОДА КИРПИЧА - 0,77, РАСТВОРА - 0,9. КИРПИЧ МАРКИ 100. РАСТВОР МАРКИ 50</t>
  </si>
  <si>
    <t>УСТРОЙСТВО КРЕПЕЖНОГО ЭЛЕМЕНТА</t>
  </si>
  <si>
    <t>АРМАТУРА ГЛАДКАЯ КЛАССА АI, ДИАМЕТРОМ 6ММ</t>
  </si>
  <si>
    <t>МОНТАЖ КОСОУРОВ К-1 ИЗ ШВЕЛЛЕРА №16 И ЛИСТОВОЙ СТАЛИ 50Х5</t>
  </si>
  <si>
    <t>ШВЕЛЛЕР №16</t>
  </si>
  <si>
    <t>ЛИСТОВАЯ СТАЛЬ 50Х5</t>
  </si>
  <si>
    <t>Е0903-030-01</t>
  </si>
  <si>
    <t>МОНТАЖ ПЛОЩАДОК С НАСТИЛОМ И ОГРАЖДЕНИЕМ ИЗ ЛИСТОВОЙ, РИФЛЕНОЙ, ПРОСЕЧНОЙ И КРУГЛОЙ СТАЛИ</t>
  </si>
  <si>
    <t>ЛИСТОВАЯ СТАЛЬ 250Х8</t>
  </si>
  <si>
    <t>ЛИСТОВАЯ СТАЛЬ 2450Х8</t>
  </si>
  <si>
    <t>МОНТАЖ ОГРАЖДЕНИЯ ЛЕСТНИЦЫ ИЗ ПРОФИЛЯ</t>
  </si>
  <si>
    <t>ТРУБЫ СТАЛЬНЫЕ КВАДРАТНЫЕ ГОСТ 8639-82, РАЗМЕР 40Х40 ММ, ТОЛЩИНА СТЕНКИ 3,0 ММ</t>
  </si>
  <si>
    <t>ТРУБЫ СТАЛЬНЫЕ ПРЯМОУГОЛЬНЫЕ ГОСТ 8645-68, РАЗМЕР 40Х20 ММ, ТОЛЩИНА СТЕНКИ 2,0 ММ</t>
  </si>
  <si>
    <t>Е1101-031-08</t>
  </si>
  <si>
    <t>УСТРОЙСТВО ПОКРЫТИЙ КРЫЛЬЦА ИЗ ГРАНИТНЫХ ПЛИТ ПРИ КОЛИЧЕСТВЕ ПЛИТ НА 1 М2 ДО 4 ШТ. РАСТВОР ГОТОВЫЙ КЛАДОЧНЫЙ ТЯЖЕЛЫЙ ЦЕМЕНТНЫЙ, МАРКА: 100</t>
  </si>
  <si>
    <t>ПЛИТЫ ГРАНИТНЫЕ</t>
  </si>
  <si>
    <t>УСТАНОВКА ДЕРЕВЯННЫХ КОНСТРУКЦИИ КАРКАСА КРОВЛИ ИЗ БРУСЬЕВ</t>
  </si>
  <si>
    <t>УСТАНОВКА ДЕРЕВЯННОЙ ОБРЕШЕТКИ КРОВЛИ</t>
  </si>
  <si>
    <t>УСТРОЙСТВО КРОВЛИ ИЗ МЕТАЛЛОЧЕРЕПИЦЫ, ПРОФНАСТИЛА ТРАПЕЦИЕВИДНОГО И СИНУСОВИДНОГО ПРОФИЛЯ, С ПОКРЫТИЕМ ПО ГОТОВЫМ ПРОГОНАМ: ПРОСТОЙ ПРОФНАСТИЛ ОЦИНКОВАННЫЙ С ПОЛИМЕРНЫМ ПОКРЫТИЕМ (ЦВЕТА ПО RAL 3005, 6005, 8017) ТОЛЩИНОЙ 0,50 ММ</t>
  </si>
  <si>
    <t>ПРОФНАСТИЛ ОЦИНКОВАННЫЙ С ПОЛИМЕРНЫМ ПОКРЫТИЕМ (ЦВЕТА ПО RAL 3005, 6005, 8017) ТОЛЩИНОЙ 0,50 ММ</t>
  </si>
  <si>
    <t>Е1201-034-02</t>
  </si>
  <si>
    <t>СНЕГОЗАДЕРЖАТЕЛИ</t>
  </si>
  <si>
    <t>УЛУЧШЕННАЯ ШТУКАТУРКА ЦЕМЕНТНО-ИЗВЕСТКОВЫМ РАСТВОРОМ ПО КАМНЮ СТЕН</t>
  </si>
  <si>
    <t>Е1502-040-01 МИНСТРОЙ РУЗ 05.01.21 N 2</t>
  </si>
  <si>
    <t>ОТДЕЛКА ВЕНЕЦИАНСКОЙ ШТУКАТУРКОЙ ПРЕДВАРИТЕЛЬНО ПОДГОТОВЛЕННЫХ ПОВЕРХНОСТЕЙ В ДВА СЛОЯ "ОТТОЧЕНТО"</t>
  </si>
  <si>
    <t>100 М2 ПОКРЫТИЯ</t>
  </si>
  <si>
    <t>ВОСК ЗАЩИТНЫЙ</t>
  </si>
  <si>
    <t>ШТУКАТУРКА ВЕНЕЦИАНСКАЯ</t>
  </si>
  <si>
    <t>Е62-025-01</t>
  </si>
  <si>
    <t>ОГРУНТОВКА ФАСАДОВ: ПРОСТЫХ С ЗЕМЛИ И ЛЕСОВ</t>
  </si>
  <si>
    <t>ПИСТОЛЕТЫ-РАСПЫЛИТЕЛИ</t>
  </si>
  <si>
    <t>ГРУНТОВКА ХС-04 КОРИЧНЕВАЯ</t>
  </si>
  <si>
    <t>Е62-025-07</t>
  </si>
  <si>
    <t>ШПАТЛЕВКА ФАСАДОВ: ПРОСТЫХ С ЗЕМЛИ И ЛЕСОВ</t>
  </si>
  <si>
    <t>ШПАТЛЕВКА ХВ-005 СЕРАЯ</t>
  </si>
  <si>
    <t>Е1504-014-03</t>
  </si>
  <si>
    <t>ОКРАСКА ФАСАДОВ С ЛЕСОВ ПО ПОДГОТОВЛЕННОЙ ПОВЕРХНОСТИ ПОЛИВИНИЛАЦЕТАТНАЯ</t>
  </si>
  <si>
    <t>Е1502-003-01</t>
  </si>
  <si>
    <t>ВЫСОКОКАЧЕСТВЕННАЯ ШТУКАТУРКА ЦЕМЕНТНО-ИЗВЕСТКОВЫМ РАСТВОРОМ ПО КАМНЮ ОТКОСОВ ПРИ ШИРИНЕ ДО 200 ММ ПЛОСКИХ</t>
  </si>
  <si>
    <t>100М ОТКОСОВ</t>
  </si>
  <si>
    <t>ОТДЕЛКА ОТКОСОВ ВЕНЕЦИАНСКОЙ ШТУКАТУРКОЙ ПРЕДВАРИТЕЛЬНО ПОДГОТОВЛЕННЫХ ПОВЕРХНОСТЕЙ В ДВА СЛОЯ "ОТТОЧЕНТО"</t>
  </si>
  <si>
    <t>Е1503-001-03 ДОП. 12 МИНСТРОЙ РУЗ N 519 ОТ 18.11.2019 Г.</t>
  </si>
  <si>
    <t>УСТАНОВКА ГИПСОВЫХ ПОГОННЫХ ДЕТАЛЕЙ КАРНИЗА ОРНАМЕНТИРОВАННЫХ, ПЛОСКИХ, ВЫПУКЛЫХ, РЕЛЬЕФНЫХ, ПРОСТОГО ИЛИ СЛОЖНОГО РИСУНКА [ПОРЕЗКИ, ПОЯСА, ФРИЗЫ, КАПЛИ И Т.П.] ВЫСОТОЙ ДО 500 ММ</t>
  </si>
  <si>
    <t>ПРОВОЛОКА ЧЕРНАЯ ДИАМЕТРОМ 1,1 ММ</t>
  </si>
  <si>
    <t>ПИЛОМАТЕРИАЛЫ ХВОЙНЫХ ПОРОД ДОСКИ НЕОБРЕЗНЫЕ ДЛИНОЙ 2-3,75 М, ВСЕ ШИРИНЫ, ТОЛЩИНОЙ 32-40 ММ II СОРТА</t>
  </si>
  <si>
    <t>ДЕТАЛИ ГИПСОВЫЕ В СООТВЕТСТВИИ С ПРОЕКТОМ</t>
  </si>
  <si>
    <t>ОКРАСКА ОТКОСОВ ФАСАДОВ С ЛЕСОВ ПО ПОДГОТОВЛЕННОЙ ПОВЕРХНОСТИ ПОЛИВИНИЛАЦЕТАТНАЯ</t>
  </si>
  <si>
    <t>Е1501-012-01</t>
  </si>
  <si>
    <t>УСТРОЙСТВО ОБЛИЦОВКИ ЦОКОЛЯ ФАСАДА (СУХОЙ МОНТАЖ) КЕРАМОГРАНИТНЫМИ ПЛИТАМИ И ТЕПЛОИЗОЛЯЦИОННЫМ СЛОЕМ ПЛИТЫ КЕРАМОГРАНИТНЫЕ 600Х600</t>
  </si>
  <si>
    <t>100 М2 ПОВЕРХНОСТИ ОБЛИЦОВКИ</t>
  </si>
  <si>
    <t>НОЖНИЦЫ ЭЛЕКТРИЧЕСКИЕ</t>
  </si>
  <si>
    <t>БОЛТЫ АНКЕРНЫЕ /ТИП И ДИАМЕТР ПО ПРОЕКТУ/</t>
  </si>
  <si>
    <t>ПЛИТЫ КЕРАМОГРАНИТНЫЕ 600Х600</t>
  </si>
  <si>
    <t>ГЕРМЕТИК В ТЮБИКАХ 600 ГР</t>
  </si>
  <si>
    <t>ПРОФИЛИ АЛЮМИНИЕВЫЕ ДЛЯ МОНТАЖА К КРОНШТЕЙНАМ, ТИП И МАРКА ПО ПРОЕКТУ</t>
  </si>
  <si>
    <t>ЗАЖИМЫ ДЛЯ МОНТАЖА ПЛИТ "KALESINTERFLEX"</t>
  </si>
  <si>
    <t>СВЕРЛА АЛМАЗНЫЕ ДИАМЕТРОМ 10-12 ММ, ДЛИНА 120 ММ</t>
  </si>
  <si>
    <t>ПРОФИЛИ АЛЮМИНИЕВЫЕ НАПРАВЛЯЮЩИЕ ДЛЯ МОНТАЖА ПЛИТ</t>
  </si>
  <si>
    <t>КРОНШТЕЙНЫ УГЛОВЫЕ /ПО ПРОЕКТУ/</t>
  </si>
  <si>
    <t>КЛЕЙ ДВУХКОМПОНЕНТНЫЙ "AKFIX" 400 МЛ</t>
  </si>
  <si>
    <t>ПЛИТЫ МИНЕРАЛОВАТНЫЕ НА БАЗАЛЬТОВОЙ ОСНОВЕ</t>
  </si>
  <si>
    <t>САМОРЕЗЫ ТB 3,5 Х 25 ММ</t>
  </si>
  <si>
    <t>ДЮБЕЛЬ С МЕТАЛЛИЧЕСКИМ ГВОЗДЕМ С ТЕРМОГОЛОВКОЙ BOGIRUS ДИАМЕТРОМ 8 ММ (ДЛЯ КРЕПЛЕНИЯ ПЛИТ МИНЕРАЛОВАТНЫХ НА БАЗАЛЬТОВОЙ ОСНОВЕ)</t>
  </si>
  <si>
    <t>ДЮБЕЛЬ С МЕТАЛЛИЧЕСКИМ ГВОЗДЕМ С ТЕРМОГОЛОВКОЙ BOGIRUS ДИАМЕТРОМ 8 ММ (ДЛЯ КРЕПЛЕНИЯ МЕМБРАНЫ)</t>
  </si>
  <si>
    <t>ШУРУПЫ-САМОРЕЗЫ ПО МЕТАЛЛУ С ШЕСТИГРАННОЙ ГОЛОВКОЙ 3,5Х25 ММ</t>
  </si>
  <si>
    <t>УСТРОЙСТВО ОГРАЖДЕНИЯ И ПЕРИЛ ИЗ АНОДИРОВАННЫХ ТРУБ</t>
  </si>
  <si>
    <t>ОГРАЖДЕНИЯ И ПЕРИЛА ИЗ АНОДИРОВАННЫХ ТРУБ</t>
  </si>
  <si>
    <t>Е1507-017-04 ДОП. 12 МИНСТРОЙ РУЗ N 519 ОТ 18.11.2019 Г.</t>
  </si>
  <si>
    <t>ОБЛИЦОВКА КОЗЫРЬКА ДЕКОРАТИВНЫМИ ПЛАСТИКОВЫМИ ПАНЕЛЯМИ С УСТРОЙСТВОМ С КАРКАСА БЕЗ ОТНОСА ОТ ПОТОЛКА. РЕЙКИ ОТДЕЛОЧНЫЕ ПЛАСТИКОВЫЕ</t>
  </si>
  <si>
    <t>100М2 ПОВЕРХНОСТИ</t>
  </si>
  <si>
    <t>РЕЙКИ ОТДЕЛОЧНЫЕ ПЛАСТИКОВЫЕ</t>
  </si>
  <si>
    <t>БРУС ДЕРЕВЯННЫЙ</t>
  </si>
  <si>
    <t>БОЛТЫ АНКЕРНЫЕ С ГАЙКАМИ</t>
  </si>
  <si>
    <t>ПАНЕЛИ ОБЛИЦОВОЧННЫЕ ПЛАСТИКОВЫЕ</t>
  </si>
  <si>
    <t>ГВОЗДИ ОТДЕЛОЧНЫЕ</t>
  </si>
  <si>
    <t>УСТРОЙСТВО БЕТОННОЙ ОТМОСТКИ БЕТОН ТЯЖЕЛЫЙ КЛАССА В7,5 /М-100/ ФРАКЦИИ 5-20 ММ</t>
  </si>
  <si>
    <t>Е2713-008-01</t>
  </si>
  <si>
    <t>УСТРОЙСТВО ПОКРЫТИЙ ИЗ БЕТОННЫХ ПЛИТОК ВРУЧНУЮ РАЗМЕРОМ 30Х30Х5 СМ, КОЛИЧЕСТВО ПЛИТКИ ПРИ УКЛАДКЕ НА 1 М2 11 ШТ НА ОСНОВАНИЕ ИЗ СУХОЙ РАСТВОРНОЙ СМЕСИ ТОЛЩИНОЙ 5 СМ С ПРИГОТОВЛЕНИЕМ НА МЕСТЕ</t>
  </si>
  <si>
    <t>ПЛИТКА ТРОТУАРНАЯ (МАРКА ПО ПРОЕКТУ)</t>
  </si>
  <si>
    <t>ВНУТРЕННИЕ ОТДЕЛОЧНЫЕ РАБОТЫ</t>
  </si>
  <si>
    <t>ТЕХ.ПОМЕЩЕНИЯ ПОДВАЛ</t>
  </si>
  <si>
    <t>ГОСТИННАЯ, ПРИХОЖАЯ, СПАЛЬНЯ, ОБЩАЯ КОМНАТА</t>
  </si>
  <si>
    <t>Е1501-052-01 ДОП. 1</t>
  </si>
  <si>
    <t>УСТРОЙСТВО ПОДВЕСНОГО ПОТОЛКА ГИПСОКАРТОННЫМИ ПЛИТАМИ КНАУФ ПО МЕТАЛЛИЧЕСКИМ НЕСУЩИМ КОНСТРУКЦИЯМ, ПРОСТОЙ СЛОЖНОСТИ</t>
  </si>
  <si>
    <t>ВИНТЫ САМОНАРЕЗАЮЩИЕ СМ1-35</t>
  </si>
  <si>
    <t>КРАСКИ ЦВЕТНЫЕ, ГОТОВЫЕ К ПРИМЕНЕНИЮ ДЛЯ ВНУТРЕННИХ РАБОТ МА-25 ГОЛУБАЯ, ОРАНЖЕВО-БЕЖЕВАЯ</t>
  </si>
  <si>
    <t>ШПАТЛЕВКА "KNAUF"</t>
  </si>
  <si>
    <t>ЛЕНТА САМОКЛЕЮЩАЯСЯ "KNAUF"</t>
  </si>
  <si>
    <t>ГИПСОКАРТОННАЯ ПЛИТКА "KNAUF"</t>
  </si>
  <si>
    <t>НАКОНЕЧНИК ПОЛИЭТИЛЕННОВЫЙ</t>
  </si>
  <si>
    <t>ПРОФИЛЬ 60Х27</t>
  </si>
  <si>
    <t>ЯКОРНЫЙ ПОДВЕС С ПРОВОЛОКОЙ</t>
  </si>
  <si>
    <t>ПРЯМОЙ ПОДВЕС</t>
  </si>
  <si>
    <t>СОЕДИНИТЕЛЬ 1 УРОВНЯ</t>
  </si>
  <si>
    <t>СОЕДИНИТЕЛЬ 2 УРОВНЯ</t>
  </si>
  <si>
    <t>УДЛИНИТЕЛЬ</t>
  </si>
  <si>
    <t>Е1502-019-12 ДОП. 12 МИНСТРОЙ РУЗ N 519 ОТ 18.11.2019 Г. К=5</t>
  </si>
  <si>
    <t>ВЫЧИТАЕТСЯ ПОЗИЦИЯ: НА КАЖДЫЙ ММ ИЗМЕНЕНИЯ ТОЛЩИНЫ ИСКЛЮЧАЕТСЯ ПОТОЛКОВ</t>
  </si>
  <si>
    <t>МАГАЗИН, ПОДСОБНАЯ</t>
  </si>
  <si>
    <t>ТЕХ.ПОМЕЩЕНИЯ</t>
  </si>
  <si>
    <t>Е1502-016-08 ДОП. 12 МИНСТРОЙ РУЗ N 519 ОТ 18.11.2019 Г.</t>
  </si>
  <si>
    <t>ОШТУКАТУРИВАНИЕ ПОВЕРХНОСТЕЙ ЦЕМЕНТНО-ИЗВЕСТКОВЫМ ИЛИ ЦЕМЕНТНЫМ РАСТВОРОМ ПО КАМНЮ И БЕТОНУ ПРОСТОЕ ПОТОЛКОВ</t>
  </si>
  <si>
    <t>ПРИХОЖАЯ, СПАЛЬНЯ, ГОСТИННАЯ</t>
  </si>
  <si>
    <t>ВАННАЯ КОМНАТА, САН/УЗЕЛ</t>
  </si>
  <si>
    <t>ОБЛИЦОВКА ПОТОЛКОВ ДЕКОРАТИВНЫМИ ПЛАСТИКОВЫМИ ПАНЕЛЯМИ С УСТРОЙСТВОМ С КАРКАСА БЕЗ ОТНОСА ОТ ПОТОЛКА. РЕЙКИ ОТДЕЛОЧНЫЕ ПЛАСТИКОВЫЕ</t>
  </si>
  <si>
    <t>КУХНЯ</t>
  </si>
  <si>
    <t>ЛЕСТНИЧНАЯ КЛЕТКА КОРИДОР (ПОДЪЕЗД)</t>
  </si>
  <si>
    <t>Е1502-019-07 ДОП. 12 МИНСТРОЙ РУЗ N 519 ОТ 18.11.2019 Г.</t>
  </si>
  <si>
    <t>Е1502-019-11 ДОП. 12 МИНСТРОЙ РУЗ N 519 ОТ 18.11.2019 Г. К=6</t>
  </si>
  <si>
    <t>Е1501-019-05</t>
  </si>
  <si>
    <t>Е1502-034-02</t>
  </si>
  <si>
    <t>ШТУКАТУРКА ЛЕСТНИЧНЫХ МАРШЕЙ И ПЛОЩАДОК УЛУЧШЕННАЯ С ОТДЕЛКОЙ КОСОУРОВ И БАЛОК БЕЗ ТЯГ</t>
  </si>
  <si>
    <t>100М2 ГОРИЗОНТАЛЬНОЙ ПРОЕКЦИИ МАРША ИЛИ ПЛОЩАДКИ (ПОЭТАЖНО)</t>
  </si>
  <si>
    <t>ПОЛЫ</t>
  </si>
  <si>
    <t>Е1101-011-03</t>
  </si>
  <si>
    <t>УСТРОЙСТВО СТЯЖЕК БЕТОННЫХ ТОЛЩИНОЙ 20 ММ. БЕТОН ТЯЖЕЛЫЙ КЛАССА В7,5 /М-100/ ФРАКЦИИ 5-20 ММ</t>
  </si>
  <si>
    <t>Е1101-011-04 К=12</t>
  </si>
  <si>
    <t>УСТРОЙСТВО СТЯЖЕК БЕТОННЫХ НА КАЖДЫЕ 5 ММ ИЗМЕНЕНИЯ ТОЛЩИНЫ СТЯЖКИ ДОБАВЛЯТЬ К НОРМЕ 11-01-011-03. БЕТОН ТЯЖЕЛЫЙ КЛАССА В7,5 /М-100/ ФРАКЦИИ 5-20 ММ</t>
  </si>
  <si>
    <t>Е1101-047-01</t>
  </si>
  <si>
    <t>УСТРОЙСТВО ОКЛЕЕЧНОЙ ГИДРОИЗОЛЯЦИИ БИТУМНО-ПОЛИМЕРНЫМ МАТЕРИАЛАМИ ПЕРВЫЙ СЛОЙ ПОДКЛАДОЧНЫЙ. БИТУМНО-ПОЛИМЕРНЫЙ МАТЕРИАЛ "ТЕХНОЭЛАСТ ФУНДАМЕНТ ГИДРО ЭМП"</t>
  </si>
  <si>
    <t>ГОРЕЛКИ ГАЗОПЛАМЕННЫЕ</t>
  </si>
  <si>
    <t>МАСТИКА БИТУМНО-ПОЛИМЕРНАЯ</t>
  </si>
  <si>
    <t>Е1101-031-03</t>
  </si>
  <si>
    <t>УСТРОЙСТВО ПОКРЫТИЙ ИЗ МРАМОРНЫХ ПЛИТ ПРИ КОЛИЧЕСТВЕ ПЛИТ НА 1 М2 ДО 4 ШТ. РАСТВОР ГОТОВЫЙ КЛАДОЧНЫЙ ТЯЖЕЛЫЙ ЦЕМЕНТНЫЙ, МАРКА: 100</t>
  </si>
  <si>
    <t>ПЛИТЫ МРАМОРНЫЕ</t>
  </si>
  <si>
    <t>УСТРОЙСТВО ОБДЕЛОК НА ФАСАДАХ [НАРУЖНЫЕ ПОДОКОННИКИ, ПОЯСКИ, БАЛКОНЫ И ДР.] БЕЗ ВОДОСТОЧНЫХ ТРУБ СТАЛЬ ОЦИНКОВАННАЯ ТОЛЩИНОЙ 0,4 ММ</t>
  </si>
  <si>
    <t>КИРПИЧ ГЛИНЯНЫЙ ОБЫКНОВЕННЫЙ МАРКИ 100  250Х120Х88</t>
  </si>
  <si>
    <t>ШТУКАТУРКА ВЕНЕЦИАНСКАЯ "ОТТОЧЕНТО"</t>
  </si>
  <si>
    <t>Строительство многоэтажных жилых домов на территории МФЙ "Хавиз Шерозий" в массиве Саттепо дом 23А в г.Самарканде.</t>
  </si>
  <si>
    <t xml:space="preserve">100 М2 </t>
  </si>
  <si>
    <t xml:space="preserve">М3 </t>
  </si>
  <si>
    <t xml:space="preserve">100М2 </t>
  </si>
  <si>
    <t xml:space="preserve">100 М3 </t>
  </si>
  <si>
    <t xml:space="preserve">100 ШТ </t>
  </si>
  <si>
    <t>объект - Блок №1.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</si>
</sst>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######"/>
    <numFmt numFmtId="165" formatCode="_-* #,##0.00_р_._-;\-* #,##0.00_р_._-;_-* &quot;-&quot;??_р_._-;_-@_-"/>
  </numFmts>
  <fonts count="18" x14ac:knownFonts="1"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9"/>
      <name val="Times New Roman Cyr"/>
      <family val="1"/>
      <charset val="204"/>
    </font>
    <font>
      <sz val="8"/>
      <name val="Arial"/>
      <family val="2"/>
      <charset val="204"/>
    </font>
    <font>
      <b/>
      <sz val="12"/>
      <name val="Times New Roman Cyr"/>
      <family val="1"/>
      <charset val="204"/>
    </font>
    <font>
      <b/>
      <sz val="11"/>
      <name val="Times New Roman Cyr"/>
      <charset val="204"/>
    </font>
    <font>
      <b/>
      <sz val="9"/>
      <name val="Times New Roman Cyr"/>
      <family val="1"/>
      <charset val="204"/>
    </font>
    <font>
      <sz val="10"/>
      <name val="Arial Cyr"/>
      <family val="2"/>
      <charset val="204"/>
    </font>
    <font>
      <sz val="10"/>
      <name val="Arial Cyr"/>
      <charset val="204"/>
    </font>
    <font>
      <b/>
      <sz val="12"/>
      <name val="Arial Cyr"/>
      <charset val="204"/>
    </font>
    <font>
      <sz val="8"/>
      <name val="Calibri"/>
      <family val="2"/>
      <charset val="204"/>
      <scheme val="minor"/>
    </font>
    <font>
      <b/>
      <sz val="10"/>
      <name val="Californian FB"/>
      <family val="1"/>
    </font>
    <font>
      <b/>
      <sz val="12"/>
      <name val="Californian FB"/>
      <family val="1"/>
    </font>
    <font>
      <sz val="9"/>
      <name val="Californian FB"/>
      <family val="1"/>
    </font>
    <font>
      <b/>
      <sz val="9"/>
      <name val="Californian FB"/>
      <family val="1"/>
    </font>
    <font>
      <sz val="9"/>
      <color rgb="FF800080"/>
      <name val="Californian FB"/>
      <family val="1"/>
    </font>
    <font>
      <sz val="9"/>
      <color rgb="FF003300"/>
      <name val="Californian FB"/>
      <family val="1"/>
    </font>
    <font>
      <sz val="9"/>
      <color rgb="FF000080"/>
      <name val="Californian FB"/>
      <family val="1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dashed">
        <color rgb="FF333399"/>
      </bottom>
      <diagonal/>
    </border>
    <border>
      <left/>
      <right style="hair">
        <color rgb="FF000000"/>
      </right>
      <top style="hair">
        <color rgb="FF000000"/>
      </top>
      <bottom style="dashed">
        <color rgb="FF333399"/>
      </bottom>
      <diagonal/>
    </border>
    <border>
      <left style="hair">
        <color rgb="FF000000"/>
      </left>
      <right style="hair">
        <color rgb="FF000000"/>
      </right>
      <top style="dashed">
        <color rgb="FF333399"/>
      </top>
      <bottom style="hair">
        <color rgb="FF000000"/>
      </bottom>
      <diagonal/>
    </border>
    <border>
      <left/>
      <right style="hair">
        <color rgb="FF000000"/>
      </right>
      <top style="dashed">
        <color rgb="FF333399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8" fillId="0" borderId="0"/>
    <xf numFmtId="165" fontId="8" fillId="0" borderId="0" applyFont="0" applyFill="0" applyBorder="0" applyAlignment="0" applyProtection="0"/>
  </cellStyleXfs>
  <cellXfs count="121">
    <xf numFmtId="0" fontId="0" fillId="0" borderId="0" xfId="0"/>
    <xf numFmtId="0" fontId="1" fillId="0" borderId="0" xfId="1" applyAlignment="1">
      <alignment vertical="top"/>
    </xf>
    <xf numFmtId="0" fontId="1" fillId="0" borderId="0" xfId="1" applyAlignment="1">
      <alignment horizontal="right" vertical="top"/>
    </xf>
    <xf numFmtId="0" fontId="2" fillId="0" borderId="0" xfId="1" applyFont="1" applyAlignment="1">
      <alignment horizontal="center" vertical="top" wrapText="1"/>
    </xf>
    <xf numFmtId="0" fontId="1" fillId="0" borderId="0" xfId="1" applyAlignment="1">
      <alignment horizontal="left" vertical="top"/>
    </xf>
    <xf numFmtId="0" fontId="1" fillId="0" borderId="0" xfId="1" applyAlignment="1">
      <alignment horizontal="center" vertical="top"/>
    </xf>
    <xf numFmtId="0" fontId="2" fillId="0" borderId="0" xfId="1" applyFont="1" applyAlignment="1">
      <alignment horizontal="right" vertical="top"/>
    </xf>
    <xf numFmtId="0" fontId="1" fillId="0" borderId="0" xfId="1" applyAlignment="1">
      <alignment horizontal="center" vertical="center"/>
    </xf>
    <xf numFmtId="0" fontId="2" fillId="2" borderId="8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0" xfId="1"/>
    <xf numFmtId="0" fontId="9" fillId="3" borderId="3" xfId="3" applyFont="1" applyFill="1" applyBorder="1" applyAlignment="1">
      <alignment horizontal="center" vertical="top"/>
    </xf>
    <xf numFmtId="0" fontId="5" fillId="0" borderId="0" xfId="1" applyFont="1" applyAlignment="1">
      <alignment vertical="top" wrapText="1"/>
    </xf>
    <xf numFmtId="0" fontId="9" fillId="3" borderId="3" xfId="3" applyFont="1" applyFill="1" applyBorder="1" applyAlignment="1">
      <alignment vertical="top"/>
    </xf>
    <xf numFmtId="0" fontId="1" fillId="0" borderId="0" xfId="1" applyAlignment="1">
      <alignment vertical="center"/>
    </xf>
    <xf numFmtId="3" fontId="1" fillId="0" borderId="0" xfId="1" applyNumberFormat="1" applyAlignment="1">
      <alignment vertical="center"/>
    </xf>
    <xf numFmtId="0" fontId="2" fillId="0" borderId="0" xfId="1" applyFont="1" applyAlignment="1">
      <alignment horizontal="center" vertical="center" wrapText="1"/>
    </xf>
    <xf numFmtId="0" fontId="1" fillId="0" borderId="0" xfId="1" applyAlignment="1">
      <alignment horizontal="left" vertical="center"/>
    </xf>
    <xf numFmtId="3" fontId="1" fillId="0" borderId="0" xfId="1" applyNumberFormat="1" applyAlignment="1">
      <alignment horizontal="left" vertical="center"/>
    </xf>
    <xf numFmtId="0" fontId="5" fillId="0" borderId="0" xfId="1" applyFont="1" applyAlignment="1">
      <alignment vertical="center" wrapText="1"/>
    </xf>
    <xf numFmtId="0" fontId="9" fillId="4" borderId="3" xfId="3" applyFont="1" applyFill="1" applyBorder="1" applyAlignment="1">
      <alignment vertical="center"/>
    </xf>
    <xf numFmtId="3" fontId="2" fillId="2" borderId="19" xfId="1" applyNumberFormat="1" applyFont="1" applyFill="1" applyBorder="1" applyAlignment="1">
      <alignment horizontal="center" vertical="center" wrapText="1"/>
    </xf>
    <xf numFmtId="0" fontId="11" fillId="2" borderId="19" xfId="1" applyFont="1" applyFill="1" applyBorder="1" applyAlignment="1">
      <alignment horizontal="center" vertical="center" wrapText="1"/>
    </xf>
    <xf numFmtId="3" fontId="11" fillId="2" borderId="19" xfId="1" applyNumberFormat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0" xfId="1" applyAlignment="1">
      <alignment vertical="top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1" applyAlignment="1">
      <alignment vertical="top"/>
    </xf>
    <xf numFmtId="0" fontId="13" fillId="0" borderId="21" xfId="1" applyFont="1" applyBorder="1" applyAlignment="1">
      <alignment horizontal="center" vertical="center" wrapText="1"/>
    </xf>
    <xf numFmtId="0" fontId="13" fillId="0" borderId="21" xfId="1" applyFont="1" applyBorder="1" applyAlignment="1">
      <alignment horizontal="left" vertical="center" wrapText="1"/>
    </xf>
    <xf numFmtId="0" fontId="14" fillId="0" borderId="21" xfId="1" applyFont="1" applyBorder="1" applyAlignment="1">
      <alignment horizontal="left" vertical="center" wrapText="1"/>
    </xf>
    <xf numFmtId="0" fontId="14" fillId="0" borderId="21" xfId="1" applyFont="1" applyBorder="1" applyAlignment="1">
      <alignment horizontal="right" vertical="center" wrapText="1"/>
    </xf>
    <xf numFmtId="3" fontId="14" fillId="0" borderId="21" xfId="1" applyNumberFormat="1" applyFont="1" applyBorder="1" applyAlignment="1">
      <alignment horizontal="right" vertical="center" wrapText="1"/>
    </xf>
    <xf numFmtId="0" fontId="13" fillId="0" borderId="22" xfId="1" applyFont="1" applyBorder="1" applyAlignment="1">
      <alignment horizontal="center" vertical="center" wrapText="1"/>
    </xf>
    <xf numFmtId="0" fontId="13" fillId="0" borderId="22" xfId="1" applyFont="1" applyBorder="1" applyAlignment="1">
      <alignment horizontal="left" vertical="center" wrapText="1"/>
    </xf>
    <xf numFmtId="3" fontId="14" fillId="0" borderId="22" xfId="1" applyNumberFormat="1" applyFont="1" applyBorder="1" applyAlignment="1">
      <alignment horizontal="right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right" vertical="center" wrapText="1"/>
    </xf>
    <xf numFmtId="3" fontId="14" fillId="2" borderId="22" xfId="1" applyNumberFormat="1" applyFont="1" applyFill="1" applyBorder="1" applyAlignment="1">
      <alignment horizontal="right" vertical="center" wrapText="1"/>
    </xf>
    <xf numFmtId="0" fontId="14" fillId="0" borderId="22" xfId="1" applyFont="1" applyBorder="1" applyAlignment="1">
      <alignment horizontal="left" vertical="center" wrapText="1"/>
    </xf>
    <xf numFmtId="0" fontId="14" fillId="0" borderId="22" xfId="1" applyFont="1" applyBorder="1" applyAlignment="1">
      <alignment horizontal="right" vertical="center" wrapText="1"/>
    </xf>
    <xf numFmtId="0" fontId="13" fillId="0" borderId="22" xfId="2" applyFont="1" applyBorder="1" applyAlignment="1">
      <alignment horizontal="center" vertical="center" wrapText="1"/>
    </xf>
    <xf numFmtId="0" fontId="14" fillId="0" borderId="22" xfId="2" applyFont="1" applyBorder="1" applyAlignment="1">
      <alignment horizontal="center" vertical="center" wrapText="1"/>
    </xf>
    <xf numFmtId="0" fontId="13" fillId="0" borderId="22" xfId="2" applyFont="1" applyBorder="1" applyAlignment="1">
      <alignment horizontal="right" vertical="center"/>
    </xf>
    <xf numFmtId="0" fontId="1" fillId="0" borderId="0" xfId="1" applyAlignment="1">
      <alignment vertical="top"/>
    </xf>
    <xf numFmtId="4" fontId="13" fillId="0" borderId="17" xfId="1" applyNumberFormat="1" applyFont="1" applyBorder="1" applyAlignment="1">
      <alignment horizontal="right" vertical="center" wrapText="1"/>
    </xf>
    <xf numFmtId="0" fontId="1" fillId="0" borderId="0" xfId="1" applyAlignment="1">
      <alignment vertical="top"/>
    </xf>
    <xf numFmtId="0" fontId="13" fillId="0" borderId="18" xfId="1" applyFont="1" applyBorder="1" applyAlignment="1">
      <alignment horizontal="left" vertical="center" wrapText="1"/>
    </xf>
    <xf numFmtId="0" fontId="13" fillId="0" borderId="20" xfId="1" applyFont="1" applyBorder="1" applyAlignment="1">
      <alignment horizontal="left" vertical="center" wrapText="1"/>
    </xf>
    <xf numFmtId="0" fontId="13" fillId="0" borderId="17" xfId="1" applyFont="1" applyBorder="1" applyAlignment="1">
      <alignment horizontal="left" vertical="center" wrapText="1"/>
    </xf>
    <xf numFmtId="0" fontId="14" fillId="0" borderId="10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left" vertical="center" wrapText="1"/>
    </xf>
    <xf numFmtId="0" fontId="14" fillId="0" borderId="11" xfId="1" applyFont="1" applyBorder="1" applyAlignment="1">
      <alignment horizontal="center" vertical="center" wrapText="1"/>
    </xf>
    <xf numFmtId="49" fontId="15" fillId="0" borderId="14" xfId="1" applyNumberFormat="1" applyFont="1" applyBorder="1" applyAlignment="1">
      <alignment horizontal="center" vertical="center" wrapText="1"/>
    </xf>
    <xf numFmtId="0" fontId="15" fillId="0" borderId="15" xfId="1" applyFont="1" applyBorder="1" applyAlignment="1">
      <alignment horizontal="center" vertical="center" wrapText="1"/>
    </xf>
    <xf numFmtId="0" fontId="15" fillId="0" borderId="15" xfId="1" applyFont="1" applyBorder="1" applyAlignment="1">
      <alignment horizontal="left" vertical="center" wrapText="1"/>
    </xf>
    <xf numFmtId="164" fontId="15" fillId="0" borderId="15" xfId="1" applyNumberFormat="1" applyFont="1" applyBorder="1" applyAlignment="1">
      <alignment horizontal="right" vertical="center"/>
    </xf>
    <xf numFmtId="49" fontId="16" fillId="0" borderId="14" xfId="1" applyNumberFormat="1" applyFont="1" applyBorder="1" applyAlignment="1">
      <alignment horizontal="center" vertical="center" wrapText="1"/>
    </xf>
    <xf numFmtId="0" fontId="16" fillId="0" borderId="15" xfId="1" applyFont="1" applyBorder="1" applyAlignment="1">
      <alignment horizontal="center" vertical="center" wrapText="1"/>
    </xf>
    <xf numFmtId="0" fontId="16" fillId="0" borderId="15" xfId="1" applyFont="1" applyBorder="1" applyAlignment="1">
      <alignment horizontal="left" vertical="center" wrapText="1"/>
    </xf>
    <xf numFmtId="164" fontId="16" fillId="0" borderId="15" xfId="1" applyNumberFormat="1" applyFont="1" applyBorder="1" applyAlignment="1">
      <alignment horizontal="right" vertical="center"/>
    </xf>
    <xf numFmtId="49" fontId="16" fillId="0" borderId="16" xfId="1" applyNumberFormat="1" applyFont="1" applyBorder="1" applyAlignment="1">
      <alignment horizontal="center" vertical="center" wrapText="1"/>
    </xf>
    <xf numFmtId="0" fontId="16" fillId="0" borderId="17" xfId="1" applyFont="1" applyBorder="1" applyAlignment="1">
      <alignment horizontal="center" vertical="center" wrapText="1"/>
    </xf>
    <xf numFmtId="0" fontId="16" fillId="0" borderId="17" xfId="1" applyFont="1" applyBorder="1" applyAlignment="1">
      <alignment horizontal="left" vertical="center" wrapText="1"/>
    </xf>
    <xf numFmtId="164" fontId="16" fillId="0" borderId="17" xfId="1" applyNumberFormat="1" applyFont="1" applyBorder="1" applyAlignment="1">
      <alignment horizontal="right" vertical="center"/>
    </xf>
    <xf numFmtId="49" fontId="17" fillId="0" borderId="14" xfId="1" applyNumberFormat="1" applyFont="1" applyBorder="1" applyAlignment="1">
      <alignment horizontal="center" vertical="center" wrapText="1"/>
    </xf>
    <xf numFmtId="0" fontId="17" fillId="0" borderId="15" xfId="1" applyFont="1" applyBorder="1" applyAlignment="1">
      <alignment horizontal="center" vertical="center" wrapText="1"/>
    </xf>
    <xf numFmtId="0" fontId="17" fillId="0" borderId="15" xfId="1" applyFont="1" applyBorder="1" applyAlignment="1">
      <alignment horizontal="left" vertical="center" wrapText="1"/>
    </xf>
    <xf numFmtId="164" fontId="17" fillId="0" borderId="15" xfId="1" applyNumberFormat="1" applyFont="1" applyBorder="1" applyAlignment="1">
      <alignment horizontal="right" vertical="center"/>
    </xf>
    <xf numFmtId="3" fontId="17" fillId="0" borderId="15" xfId="1" applyNumberFormat="1" applyFont="1" applyBorder="1" applyAlignment="1">
      <alignment horizontal="right" vertical="center"/>
    </xf>
    <xf numFmtId="3" fontId="15" fillId="0" borderId="15" xfId="1" applyNumberFormat="1" applyFont="1" applyBorder="1" applyAlignment="1">
      <alignment horizontal="right" vertical="center"/>
    </xf>
    <xf numFmtId="3" fontId="16" fillId="0" borderId="15" xfId="1" applyNumberFormat="1" applyFont="1" applyBorder="1" applyAlignment="1">
      <alignment horizontal="right" vertical="center"/>
    </xf>
    <xf numFmtId="49" fontId="17" fillId="0" borderId="16" xfId="1" applyNumberFormat="1" applyFont="1" applyBorder="1" applyAlignment="1">
      <alignment horizontal="center" vertical="center" wrapText="1"/>
    </xf>
    <xf numFmtId="0" fontId="17" fillId="0" borderId="17" xfId="1" applyFont="1" applyBorder="1" applyAlignment="1">
      <alignment horizontal="center" vertical="center" wrapText="1"/>
    </xf>
    <xf numFmtId="0" fontId="17" fillId="0" borderId="17" xfId="1" applyFont="1" applyBorder="1" applyAlignment="1">
      <alignment horizontal="left" vertical="center" wrapText="1"/>
    </xf>
    <xf numFmtId="164" fontId="17" fillId="0" borderId="17" xfId="1" applyNumberFormat="1" applyFont="1" applyBorder="1" applyAlignment="1">
      <alignment horizontal="right" vertical="center"/>
    </xf>
    <xf numFmtId="3" fontId="17" fillId="0" borderId="17" xfId="1" applyNumberFormat="1" applyFont="1" applyBorder="1" applyAlignment="1">
      <alignment horizontal="right" vertical="center"/>
    </xf>
    <xf numFmtId="3" fontId="16" fillId="0" borderId="17" xfId="1" applyNumberFormat="1" applyFont="1" applyBorder="1" applyAlignment="1">
      <alignment horizontal="right" vertical="center"/>
    </xf>
    <xf numFmtId="164" fontId="14" fillId="0" borderId="17" xfId="1" applyNumberFormat="1" applyFont="1" applyBorder="1" applyAlignment="1">
      <alignment horizontal="right" vertical="center" wrapText="1"/>
    </xf>
    <xf numFmtId="0" fontId="13" fillId="0" borderId="17" xfId="1" applyFont="1" applyBorder="1" applyAlignment="1">
      <alignment horizontal="left" vertical="center" wrapText="1"/>
    </xf>
    <xf numFmtId="0" fontId="13" fillId="0" borderId="17" xfId="1" applyFont="1" applyBorder="1" applyAlignment="1">
      <alignment horizontal="center" vertical="center" wrapText="1"/>
    </xf>
    <xf numFmtId="164" fontId="14" fillId="0" borderId="17" xfId="1" applyNumberFormat="1" applyFont="1" applyBorder="1" applyAlignment="1">
      <alignment horizontal="right" vertical="center" wrapText="1"/>
    </xf>
    <xf numFmtId="3" fontId="13" fillId="0" borderId="17" xfId="1" applyNumberFormat="1" applyFont="1" applyBorder="1" applyAlignment="1">
      <alignment horizontal="right" vertical="center" wrapText="1"/>
    </xf>
    <xf numFmtId="3" fontId="14" fillId="0" borderId="17" xfId="1" applyNumberFormat="1" applyFont="1" applyBorder="1" applyAlignment="1">
      <alignment horizontal="right" vertical="center" wrapText="1"/>
    </xf>
    <xf numFmtId="0" fontId="13" fillId="0" borderId="17" xfId="1" applyFont="1" applyBorder="1" applyAlignment="1">
      <alignment horizontal="left" vertical="center" wrapText="1"/>
    </xf>
    <xf numFmtId="0" fontId="13" fillId="0" borderId="17" xfId="1" applyFont="1" applyBorder="1" applyAlignment="1">
      <alignment horizontal="center" vertical="center" wrapText="1"/>
    </xf>
    <xf numFmtId="164" fontId="14" fillId="0" borderId="17" xfId="1" applyNumberFormat="1" applyFont="1" applyBorder="1" applyAlignment="1">
      <alignment horizontal="right" vertical="center" wrapText="1"/>
    </xf>
    <xf numFmtId="3" fontId="13" fillId="0" borderId="17" xfId="1" applyNumberFormat="1" applyFont="1" applyBorder="1" applyAlignment="1">
      <alignment horizontal="right" vertical="center" wrapText="1"/>
    </xf>
    <xf numFmtId="3" fontId="14" fillId="0" borderId="17" xfId="1" applyNumberFormat="1" applyFont="1" applyBorder="1" applyAlignment="1">
      <alignment horizontal="right" vertical="center" wrapText="1"/>
    </xf>
    <xf numFmtId="0" fontId="13" fillId="0" borderId="11" xfId="1" applyFont="1" applyBorder="1" applyAlignment="1">
      <alignment horizontal="left" vertical="center" wrapText="1"/>
    </xf>
    <xf numFmtId="0" fontId="13" fillId="0" borderId="11" xfId="1" applyFont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2" fillId="0" borderId="0" xfId="1" applyFont="1" applyAlignment="1">
      <alignment horizontal="right" vertical="center"/>
    </xf>
    <xf numFmtId="0" fontId="4" fillId="0" borderId="0" xfId="1" applyFont="1" applyAlignment="1">
      <alignment horizontal="center" vertical="center"/>
    </xf>
    <xf numFmtId="0" fontId="12" fillId="4" borderId="3" xfId="3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left" vertical="center" wrapText="1"/>
    </xf>
    <xf numFmtId="164" fontId="14" fillId="0" borderId="18" xfId="1" applyNumberFormat="1" applyFont="1" applyBorder="1" applyAlignment="1">
      <alignment horizontal="center" vertical="center"/>
    </xf>
    <xf numFmtId="164" fontId="14" fillId="0" borderId="17" xfId="1" applyNumberFormat="1" applyFont="1" applyBorder="1" applyAlignment="1">
      <alignment horizontal="center" vertical="center"/>
    </xf>
    <xf numFmtId="164" fontId="14" fillId="0" borderId="12" xfId="1" applyNumberFormat="1" applyFont="1" applyBorder="1" applyAlignment="1">
      <alignment horizontal="center" vertical="center"/>
    </xf>
    <xf numFmtId="164" fontId="14" fillId="0" borderId="13" xfId="1" applyNumberFormat="1" applyFont="1" applyBorder="1" applyAlignment="1">
      <alignment horizontal="center" vertical="center"/>
    </xf>
    <xf numFmtId="3" fontId="14" fillId="0" borderId="18" xfId="1" applyNumberFormat="1" applyFont="1" applyBorder="1" applyAlignment="1">
      <alignment horizontal="center" vertical="center"/>
    </xf>
    <xf numFmtId="3" fontId="14" fillId="0" borderId="17" xfId="1" applyNumberFormat="1" applyFont="1" applyBorder="1" applyAlignment="1">
      <alignment horizontal="center" vertical="center"/>
    </xf>
    <xf numFmtId="0" fontId="14" fillId="0" borderId="20" xfId="1" applyFont="1" applyBorder="1" applyAlignment="1">
      <alignment horizontal="left" vertical="center" wrapText="1"/>
    </xf>
    <xf numFmtId="3" fontId="14" fillId="0" borderId="12" xfId="1" applyNumberFormat="1" applyFont="1" applyBorder="1" applyAlignment="1">
      <alignment horizontal="center" vertical="center"/>
    </xf>
    <xf numFmtId="3" fontId="14" fillId="0" borderId="13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0" borderId="0" xfId="1" applyFont="1" applyAlignment="1">
      <alignment horizontal="center" vertical="top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top"/>
    </xf>
    <xf numFmtId="0" fontId="9" fillId="3" borderId="3" xfId="3" applyFont="1" applyFill="1" applyBorder="1" applyAlignment="1">
      <alignment horizontal="center" vertical="top"/>
    </xf>
  </cellXfs>
  <cellStyles count="5">
    <cellStyle name="Обычный" xfId="0" builtinId="0"/>
    <cellStyle name="Обычный 2" xfId="1" xr:uid="{72EF5135-3242-4DF2-936C-E0EE38C7B2F6}"/>
    <cellStyle name="Обычный 2 2" xfId="3" xr:uid="{967F8A06-FA4E-4F02-8673-5830C756E6A4}"/>
    <cellStyle name="Обычный 3" xfId="2" xr:uid="{1C542F9A-A225-4E2F-BD16-480430A10C5D}"/>
    <cellStyle name="Финансовый 2" xfId="4" xr:uid="{E278911D-F859-4F66-AA06-D0C7734A8B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aoc\&#1054;&#1041;&#1052;&#1045;&#1053;\&#1052;&#1086;&#1080;%20&#1076;&#1086;&#1082;&#1091;&#1084;&#1077;&#1085;&#1090;&#1099;\&#1042;&#1086;&#1083;&#1086;&#1076;&#1103;\&#1072;&#1101;&#1088;&#1086;&#1087;&#1086;&#1088;&#1090;%20&#1082;&#1072;&#1088;&#1096;&#1080;-\&#1087;&#1077;&#1088;&#1074;&#1086;&#1085;&#1072;&#1095;\&#1040;&#1069;&#1056;&#1054;&#1055;&#1054;&#1056;&#1058;%20&#1050;&#1040;&#1056;&#1064;&#1048;%20&#1086;&#1073;&#1097;&#1077;&#107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044;&#1086;&#1082;&#1091;&#1084;&#1077;&#1085;&#1090;&#1099;%20&#1050;&#1080;&#1084;\&#1042;&#1056;&#1045;&#1052;&#1045;&#1053;&#1053;&#1040;&#1071;\&#1057;&#1058;&#1040;&#1044;&#1048;&#1054;&#1053;-&#1053;&#1072;&#1088;&#1080;&#1084;&#1072;&#1085;%2019.07.06\&#1058;&#1056;&#1048;&#1041;&#1059;&#1053;&#106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2;&#1086;&#1080;%20&#1076;&#1086;&#1082;&#1091;&#1084;&#1077;&#1085;&#1090;&#1099;/2-&#1040;&#1056;&#1061;&#1048;&#1042;&#1053;&#1067;&#1045;%20&#1057;&#1052;&#1045;&#1058;&#1067;/&#1063;&#1059;&#1041;&#1054;&#1058;/1-%20&#1081;%20&#1069;&#1058;&#1040;&#1055;/&#1040;&#1088;&#1093;.%20&#1063;&#1091;&#1073;&#1086;&#1090;/Ex22-03-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061;&#1059;&#1051;&#1054;&#1057;&#1040;%202015\&#1057;&#1052;&#1045;&#1058;&#1040;-2016\&#1040;&#1043;&#1053;&#1050;&#1057;\&#1057;&#1045;&#1058;&#1068;\201007010-&#1092;&#1072;&#1089;&#1072;&#1076;%20&#1076;&#1078;&#1091;&#1084;&#107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057;&#1059;&#1044;\&#1056;&#1040;&#1041;&#1054;&#1058;&#1040;\&#1057;&#1052;&#1045;&#1058;&#1040;-2016\&#1055;&#1054;&#1051;&#1048;&#1050;&#1051;&#1048;&#1053;&#1048;&#1050;&#1040;%20&#1055;&#1057;&#1048;&#1061;%20&#1044;&#1048;&#1057;&#1055;&#1040;&#1053;&#1057;&#1045;&#1056;&#1040;\&#1053;&#1086;&#1074;&#1072;&#1103;%20&#1087;&#1072;&#1087;&#1082;&#1072;\&#1057;&#1042;&#1054;&#1044;%20&#1055;&#1054;%20&#1055;&#1054;&#1051;&#1048;&#1050;&#1051;&#1048;&#1053;&#1048;&#1050;&#1045;%20(&#1069;&#1056;&#1050;&#1048;&#105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69;&#1088;&#1082;&#1080;&#1085;&#1096;&#1086;&#1076;&#1080;&#1077;&#1074;&#1080;&#1095;\&#1089;%20&#1074;&#1080;&#1085;&#1090;&#1072;%20&#1096;&#1086;&#1076;&#1080;&#1077;&#1074;&#1080;&#1095;&#1072;\1&#1044;&#1054;&#1050;&#1059;&#1052;&#1045;&#1053;&#1058;&#1067;%20&#1047;&#1040;%202015%20&#1043;\&#1041;&#1059;&#1051;&#1059;&#1053;&#1043;&#1059;&#1056;%20&#1047;&#1040;&#1043;&#1057;\&#1057;&#1042;&#1054;&#1044;%20&#1055;&#1054;%20&#1041;&#1059;&#1051;&#1059;&#1053;&#1043;&#1059;&#1056;&#1057;&#1050;&#1054;&#1052;&#1059;%20&#1047;&#1040;&#1043;&#1057;&#1059;-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арт"/>
      <sheetName val="Ведомость ресурсов"/>
      <sheetName val="Ведомость работ"/>
      <sheetName val="Лист1"/>
      <sheetName val="БЮДЖЕТ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д. рес-в"/>
      <sheetName val="Вед. р-т"/>
      <sheetName val="Старт"/>
      <sheetName val="ЦЕНЫ"/>
      <sheetName val="ДЕФ. АКТ"/>
      <sheetName val="Л-р в-сть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с. вед."/>
      <sheetName val="Вед. рес."/>
      <sheetName val="стар"/>
      <sheetName val="Лок-рес. вед-ть"/>
      <sheetName val="Вед.  работ"/>
      <sheetName val="Вед-ть работ"/>
      <sheetName val="ДЕФ. АКТ"/>
      <sheetName val="сог.Цен"/>
      <sheetName val="Един."/>
    </sheetNames>
    <sheetDataSet>
      <sheetData sheetId="0"/>
      <sheetData sheetId="1">
        <row r="1">
          <cell r="A1" t="str">
            <v>НАИМЕНОВАНИЕ СТРОЙКИ: КАП РЕМОНТ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007010_РС"/>
      <sheetName val="201007010_БР"/>
      <sheetName val="201007010_БВ"/>
      <sheetName val="bx_abc4"/>
      <sheetName val="СТАРТ (2)"/>
      <sheetName val="ДЕФ АКТ"/>
      <sheetName val="Вед. рес."/>
    </sheetNames>
    <sheetDataSet>
      <sheetData sheetId="0" refreshError="1"/>
      <sheetData sheetId="1" refreshError="1"/>
      <sheetData sheetId="2" refreshError="1"/>
      <sheetData sheetId="3">
        <row r="171">
          <cell r="E171">
            <v>5.2</v>
          </cell>
        </row>
      </sheetData>
      <sheetData sheetId="4" refreshError="1"/>
      <sheetData sheetId="5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916341_БР"/>
      <sheetName val="15916341_А0"/>
      <sheetName val="15916341_БВ"/>
      <sheetName val="СТАРТ -ВСЕХ ЭТАПОВ ИЗМ"/>
      <sheetName val="990651_А0"/>
    </sheetNames>
    <sheetDataSet>
      <sheetData sheetId="0"/>
      <sheetData sheetId="1">
        <row r="2097">
          <cell r="E2097">
            <v>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03431_А0"/>
      <sheetName val="903431_БР"/>
      <sheetName val="903431_БВ"/>
      <sheetName val="СТАРТ -ВСЕХ ЭТАПОВ ИЗМ"/>
      <sheetName val="925021_А0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22A0-14EB-41E8-A22D-C796E7B89EC3}">
  <dimension ref="A1:H298"/>
  <sheetViews>
    <sheetView showGridLines="0" view="pageBreakPreview" zoomScaleNormal="100" zoomScaleSheetLayoutView="100" workbookViewId="0">
      <selection activeCell="C17" sqref="C17"/>
    </sheetView>
  </sheetViews>
  <sheetFormatPr defaultRowHeight="13.15" x14ac:dyDescent="0.4"/>
  <cols>
    <col min="1" max="1" width="4.59765625" style="16" customWidth="1"/>
    <col min="2" max="2" width="10.1328125" style="16" hidden="1" customWidth="1"/>
    <col min="3" max="3" width="86.265625" style="16" customWidth="1"/>
    <col min="4" max="4" width="10.1328125" style="16" customWidth="1"/>
    <col min="5" max="5" width="10.86328125" style="16" bestFit="1" customWidth="1"/>
    <col min="6" max="6" width="10.1328125" style="16" customWidth="1"/>
    <col min="7" max="7" width="12.265625" style="17" bestFit="1" customWidth="1"/>
    <col min="8" max="8" width="9.1328125" style="16" customWidth="1"/>
    <col min="9" max="9" width="9.1328125" style="12" customWidth="1"/>
    <col min="10" max="251" width="9.1328125" style="12"/>
    <col min="252" max="252" width="4.59765625" style="12" customWidth="1"/>
    <col min="253" max="253" width="13.59765625" style="12" customWidth="1"/>
    <col min="254" max="254" width="52.1328125" style="12" customWidth="1"/>
    <col min="255" max="260" width="10.1328125" style="12" customWidth="1"/>
    <col min="261" max="507" width="9.1328125" style="12"/>
    <col min="508" max="508" width="4.59765625" style="12" customWidth="1"/>
    <col min="509" max="509" width="13.59765625" style="12" customWidth="1"/>
    <col min="510" max="510" width="52.1328125" style="12" customWidth="1"/>
    <col min="511" max="516" width="10.1328125" style="12" customWidth="1"/>
    <col min="517" max="763" width="9.1328125" style="12"/>
    <col min="764" max="764" width="4.59765625" style="12" customWidth="1"/>
    <col min="765" max="765" width="13.59765625" style="12" customWidth="1"/>
    <col min="766" max="766" width="52.1328125" style="12" customWidth="1"/>
    <col min="767" max="772" width="10.1328125" style="12" customWidth="1"/>
    <col min="773" max="1019" width="9.1328125" style="12"/>
    <col min="1020" max="1020" width="4.59765625" style="12" customWidth="1"/>
    <col min="1021" max="1021" width="13.59765625" style="12" customWidth="1"/>
    <col min="1022" max="1022" width="52.1328125" style="12" customWidth="1"/>
    <col min="1023" max="1028" width="10.1328125" style="12" customWidth="1"/>
    <col min="1029" max="1275" width="9.1328125" style="12"/>
    <col min="1276" max="1276" width="4.59765625" style="12" customWidth="1"/>
    <col min="1277" max="1277" width="13.59765625" style="12" customWidth="1"/>
    <col min="1278" max="1278" width="52.1328125" style="12" customWidth="1"/>
    <col min="1279" max="1284" width="10.1328125" style="12" customWidth="1"/>
    <col min="1285" max="1531" width="9.1328125" style="12"/>
    <col min="1532" max="1532" width="4.59765625" style="12" customWidth="1"/>
    <col min="1533" max="1533" width="13.59765625" style="12" customWidth="1"/>
    <col min="1534" max="1534" width="52.1328125" style="12" customWidth="1"/>
    <col min="1535" max="1540" width="10.1328125" style="12" customWidth="1"/>
    <col min="1541" max="1787" width="9.1328125" style="12"/>
    <col min="1788" max="1788" width="4.59765625" style="12" customWidth="1"/>
    <col min="1789" max="1789" width="13.59765625" style="12" customWidth="1"/>
    <col min="1790" max="1790" width="52.1328125" style="12" customWidth="1"/>
    <col min="1791" max="1796" width="10.1328125" style="12" customWidth="1"/>
    <col min="1797" max="2043" width="9.1328125" style="12"/>
    <col min="2044" max="2044" width="4.59765625" style="12" customWidth="1"/>
    <col min="2045" max="2045" width="13.59765625" style="12" customWidth="1"/>
    <col min="2046" max="2046" width="52.1328125" style="12" customWidth="1"/>
    <col min="2047" max="2052" width="10.1328125" style="12" customWidth="1"/>
    <col min="2053" max="2299" width="9.1328125" style="12"/>
    <col min="2300" max="2300" width="4.59765625" style="12" customWidth="1"/>
    <col min="2301" max="2301" width="13.59765625" style="12" customWidth="1"/>
    <col min="2302" max="2302" width="52.1328125" style="12" customWidth="1"/>
    <col min="2303" max="2308" width="10.1328125" style="12" customWidth="1"/>
    <col min="2309" max="2555" width="9.1328125" style="12"/>
    <col min="2556" max="2556" width="4.59765625" style="12" customWidth="1"/>
    <col min="2557" max="2557" width="13.59765625" style="12" customWidth="1"/>
    <col min="2558" max="2558" width="52.1328125" style="12" customWidth="1"/>
    <col min="2559" max="2564" width="10.1328125" style="12" customWidth="1"/>
    <col min="2565" max="2811" width="9.1328125" style="12"/>
    <col min="2812" max="2812" width="4.59765625" style="12" customWidth="1"/>
    <col min="2813" max="2813" width="13.59765625" style="12" customWidth="1"/>
    <col min="2814" max="2814" width="52.1328125" style="12" customWidth="1"/>
    <col min="2815" max="2820" width="10.1328125" style="12" customWidth="1"/>
    <col min="2821" max="3067" width="9.1328125" style="12"/>
    <col min="3068" max="3068" width="4.59765625" style="12" customWidth="1"/>
    <col min="3069" max="3069" width="13.59765625" style="12" customWidth="1"/>
    <col min="3070" max="3070" width="52.1328125" style="12" customWidth="1"/>
    <col min="3071" max="3076" width="10.1328125" style="12" customWidth="1"/>
    <col min="3077" max="3323" width="9.1328125" style="12"/>
    <col min="3324" max="3324" width="4.59765625" style="12" customWidth="1"/>
    <col min="3325" max="3325" width="13.59765625" style="12" customWidth="1"/>
    <col min="3326" max="3326" width="52.1328125" style="12" customWidth="1"/>
    <col min="3327" max="3332" width="10.1328125" style="12" customWidth="1"/>
    <col min="3333" max="3579" width="9.1328125" style="12"/>
    <col min="3580" max="3580" width="4.59765625" style="12" customWidth="1"/>
    <col min="3581" max="3581" width="13.59765625" style="12" customWidth="1"/>
    <col min="3582" max="3582" width="52.1328125" style="12" customWidth="1"/>
    <col min="3583" max="3588" width="10.1328125" style="12" customWidth="1"/>
    <col min="3589" max="3835" width="9.1328125" style="12"/>
    <col min="3836" max="3836" width="4.59765625" style="12" customWidth="1"/>
    <col min="3837" max="3837" width="13.59765625" style="12" customWidth="1"/>
    <col min="3838" max="3838" width="52.1328125" style="12" customWidth="1"/>
    <col min="3839" max="3844" width="10.1328125" style="12" customWidth="1"/>
    <col min="3845" max="4091" width="9.1328125" style="12"/>
    <col min="4092" max="4092" width="4.59765625" style="12" customWidth="1"/>
    <col min="4093" max="4093" width="13.59765625" style="12" customWidth="1"/>
    <col min="4094" max="4094" width="52.1328125" style="12" customWidth="1"/>
    <col min="4095" max="4100" width="10.1328125" style="12" customWidth="1"/>
    <col min="4101" max="4347" width="9.1328125" style="12"/>
    <col min="4348" max="4348" width="4.59765625" style="12" customWidth="1"/>
    <col min="4349" max="4349" width="13.59765625" style="12" customWidth="1"/>
    <col min="4350" max="4350" width="52.1328125" style="12" customWidth="1"/>
    <col min="4351" max="4356" width="10.1328125" style="12" customWidth="1"/>
    <col min="4357" max="4603" width="9.1328125" style="12"/>
    <col min="4604" max="4604" width="4.59765625" style="12" customWidth="1"/>
    <col min="4605" max="4605" width="13.59765625" style="12" customWidth="1"/>
    <col min="4606" max="4606" width="52.1328125" style="12" customWidth="1"/>
    <col min="4607" max="4612" width="10.1328125" style="12" customWidth="1"/>
    <col min="4613" max="4859" width="9.1328125" style="12"/>
    <col min="4860" max="4860" width="4.59765625" style="12" customWidth="1"/>
    <col min="4861" max="4861" width="13.59765625" style="12" customWidth="1"/>
    <col min="4862" max="4862" width="52.1328125" style="12" customWidth="1"/>
    <col min="4863" max="4868" width="10.1328125" style="12" customWidth="1"/>
    <col min="4869" max="5115" width="9.1328125" style="12"/>
    <col min="5116" max="5116" width="4.59765625" style="12" customWidth="1"/>
    <col min="5117" max="5117" width="13.59765625" style="12" customWidth="1"/>
    <col min="5118" max="5118" width="52.1328125" style="12" customWidth="1"/>
    <col min="5119" max="5124" width="10.1328125" style="12" customWidth="1"/>
    <col min="5125" max="5371" width="9.1328125" style="12"/>
    <col min="5372" max="5372" width="4.59765625" style="12" customWidth="1"/>
    <col min="5373" max="5373" width="13.59765625" style="12" customWidth="1"/>
    <col min="5374" max="5374" width="52.1328125" style="12" customWidth="1"/>
    <col min="5375" max="5380" width="10.1328125" style="12" customWidth="1"/>
    <col min="5381" max="5627" width="9.1328125" style="12"/>
    <col min="5628" max="5628" width="4.59765625" style="12" customWidth="1"/>
    <col min="5629" max="5629" width="13.59765625" style="12" customWidth="1"/>
    <col min="5630" max="5630" width="52.1328125" style="12" customWidth="1"/>
    <col min="5631" max="5636" width="10.1328125" style="12" customWidth="1"/>
    <col min="5637" max="5883" width="9.1328125" style="12"/>
    <col min="5884" max="5884" width="4.59765625" style="12" customWidth="1"/>
    <col min="5885" max="5885" width="13.59765625" style="12" customWidth="1"/>
    <col min="5886" max="5886" width="52.1328125" style="12" customWidth="1"/>
    <col min="5887" max="5892" width="10.1328125" style="12" customWidth="1"/>
    <col min="5893" max="6139" width="9.1328125" style="12"/>
    <col min="6140" max="6140" width="4.59765625" style="12" customWidth="1"/>
    <col min="6141" max="6141" width="13.59765625" style="12" customWidth="1"/>
    <col min="6142" max="6142" width="52.1328125" style="12" customWidth="1"/>
    <col min="6143" max="6148" width="10.1328125" style="12" customWidth="1"/>
    <col min="6149" max="6395" width="9.1328125" style="12"/>
    <col min="6396" max="6396" width="4.59765625" style="12" customWidth="1"/>
    <col min="6397" max="6397" width="13.59765625" style="12" customWidth="1"/>
    <col min="6398" max="6398" width="52.1328125" style="12" customWidth="1"/>
    <col min="6399" max="6404" width="10.1328125" style="12" customWidth="1"/>
    <col min="6405" max="6651" width="9.1328125" style="12"/>
    <col min="6652" max="6652" width="4.59765625" style="12" customWidth="1"/>
    <col min="6653" max="6653" width="13.59765625" style="12" customWidth="1"/>
    <col min="6654" max="6654" width="52.1328125" style="12" customWidth="1"/>
    <col min="6655" max="6660" width="10.1328125" style="12" customWidth="1"/>
    <col min="6661" max="6907" width="9.1328125" style="12"/>
    <col min="6908" max="6908" width="4.59765625" style="12" customWidth="1"/>
    <col min="6909" max="6909" width="13.59765625" style="12" customWidth="1"/>
    <col min="6910" max="6910" width="52.1328125" style="12" customWidth="1"/>
    <col min="6911" max="6916" width="10.1328125" style="12" customWidth="1"/>
    <col min="6917" max="7163" width="9.1328125" style="12"/>
    <col min="7164" max="7164" width="4.59765625" style="12" customWidth="1"/>
    <col min="7165" max="7165" width="13.59765625" style="12" customWidth="1"/>
    <col min="7166" max="7166" width="52.1328125" style="12" customWidth="1"/>
    <col min="7167" max="7172" width="10.1328125" style="12" customWidth="1"/>
    <col min="7173" max="7419" width="9.1328125" style="12"/>
    <col min="7420" max="7420" width="4.59765625" style="12" customWidth="1"/>
    <col min="7421" max="7421" width="13.59765625" style="12" customWidth="1"/>
    <col min="7422" max="7422" width="52.1328125" style="12" customWidth="1"/>
    <col min="7423" max="7428" width="10.1328125" style="12" customWidth="1"/>
    <col min="7429" max="7675" width="9.1328125" style="12"/>
    <col min="7676" max="7676" width="4.59765625" style="12" customWidth="1"/>
    <col min="7677" max="7677" width="13.59765625" style="12" customWidth="1"/>
    <col min="7678" max="7678" width="52.1328125" style="12" customWidth="1"/>
    <col min="7679" max="7684" width="10.1328125" style="12" customWidth="1"/>
    <col min="7685" max="7931" width="9.1328125" style="12"/>
    <col min="7932" max="7932" width="4.59765625" style="12" customWidth="1"/>
    <col min="7933" max="7933" width="13.59765625" style="12" customWidth="1"/>
    <col min="7934" max="7934" width="52.1328125" style="12" customWidth="1"/>
    <col min="7935" max="7940" width="10.1328125" style="12" customWidth="1"/>
    <col min="7941" max="8187" width="9.1328125" style="12"/>
    <col min="8188" max="8188" width="4.59765625" style="12" customWidth="1"/>
    <col min="8189" max="8189" width="13.59765625" style="12" customWidth="1"/>
    <col min="8190" max="8190" width="52.1328125" style="12" customWidth="1"/>
    <col min="8191" max="8196" width="10.1328125" style="12" customWidth="1"/>
    <col min="8197" max="8443" width="9.1328125" style="12"/>
    <col min="8444" max="8444" width="4.59765625" style="12" customWidth="1"/>
    <col min="8445" max="8445" width="13.59765625" style="12" customWidth="1"/>
    <col min="8446" max="8446" width="52.1328125" style="12" customWidth="1"/>
    <col min="8447" max="8452" width="10.1328125" style="12" customWidth="1"/>
    <col min="8453" max="8699" width="9.1328125" style="12"/>
    <col min="8700" max="8700" width="4.59765625" style="12" customWidth="1"/>
    <col min="8701" max="8701" width="13.59765625" style="12" customWidth="1"/>
    <col min="8702" max="8702" width="52.1328125" style="12" customWidth="1"/>
    <col min="8703" max="8708" width="10.1328125" style="12" customWidth="1"/>
    <col min="8709" max="8955" width="9.1328125" style="12"/>
    <col min="8956" max="8956" width="4.59765625" style="12" customWidth="1"/>
    <col min="8957" max="8957" width="13.59765625" style="12" customWidth="1"/>
    <col min="8958" max="8958" width="52.1328125" style="12" customWidth="1"/>
    <col min="8959" max="8964" width="10.1328125" style="12" customWidth="1"/>
    <col min="8965" max="9211" width="9.1328125" style="12"/>
    <col min="9212" max="9212" width="4.59765625" style="12" customWidth="1"/>
    <col min="9213" max="9213" width="13.59765625" style="12" customWidth="1"/>
    <col min="9214" max="9214" width="52.1328125" style="12" customWidth="1"/>
    <col min="9215" max="9220" width="10.1328125" style="12" customWidth="1"/>
    <col min="9221" max="9467" width="9.1328125" style="12"/>
    <col min="9468" max="9468" width="4.59765625" style="12" customWidth="1"/>
    <col min="9469" max="9469" width="13.59765625" style="12" customWidth="1"/>
    <col min="9470" max="9470" width="52.1328125" style="12" customWidth="1"/>
    <col min="9471" max="9476" width="10.1328125" style="12" customWidth="1"/>
    <col min="9477" max="9723" width="9.1328125" style="12"/>
    <col min="9724" max="9724" width="4.59765625" style="12" customWidth="1"/>
    <col min="9725" max="9725" width="13.59765625" style="12" customWidth="1"/>
    <col min="9726" max="9726" width="52.1328125" style="12" customWidth="1"/>
    <col min="9727" max="9732" width="10.1328125" style="12" customWidth="1"/>
    <col min="9733" max="9979" width="9.1328125" style="12"/>
    <col min="9980" max="9980" width="4.59765625" style="12" customWidth="1"/>
    <col min="9981" max="9981" width="13.59765625" style="12" customWidth="1"/>
    <col min="9982" max="9982" width="52.1328125" style="12" customWidth="1"/>
    <col min="9983" max="9988" width="10.1328125" style="12" customWidth="1"/>
    <col min="9989" max="10235" width="9.1328125" style="12"/>
    <col min="10236" max="10236" width="4.59765625" style="12" customWidth="1"/>
    <col min="10237" max="10237" width="13.59765625" style="12" customWidth="1"/>
    <col min="10238" max="10238" width="52.1328125" style="12" customWidth="1"/>
    <col min="10239" max="10244" width="10.1328125" style="12" customWidth="1"/>
    <col min="10245" max="10491" width="9.1328125" style="12"/>
    <col min="10492" max="10492" width="4.59765625" style="12" customWidth="1"/>
    <col min="10493" max="10493" width="13.59765625" style="12" customWidth="1"/>
    <col min="10494" max="10494" width="52.1328125" style="12" customWidth="1"/>
    <col min="10495" max="10500" width="10.1328125" style="12" customWidth="1"/>
    <col min="10501" max="10747" width="9.1328125" style="12"/>
    <col min="10748" max="10748" width="4.59765625" style="12" customWidth="1"/>
    <col min="10749" max="10749" width="13.59765625" style="12" customWidth="1"/>
    <col min="10750" max="10750" width="52.1328125" style="12" customWidth="1"/>
    <col min="10751" max="10756" width="10.1328125" style="12" customWidth="1"/>
    <col min="10757" max="11003" width="9.1328125" style="12"/>
    <col min="11004" max="11004" width="4.59765625" style="12" customWidth="1"/>
    <col min="11005" max="11005" width="13.59765625" style="12" customWidth="1"/>
    <col min="11006" max="11006" width="52.1328125" style="12" customWidth="1"/>
    <col min="11007" max="11012" width="10.1328125" style="12" customWidth="1"/>
    <col min="11013" max="11259" width="9.1328125" style="12"/>
    <col min="11260" max="11260" width="4.59765625" style="12" customWidth="1"/>
    <col min="11261" max="11261" width="13.59765625" style="12" customWidth="1"/>
    <col min="11262" max="11262" width="52.1328125" style="12" customWidth="1"/>
    <col min="11263" max="11268" width="10.1328125" style="12" customWidth="1"/>
    <col min="11269" max="11515" width="9.1328125" style="12"/>
    <col min="11516" max="11516" width="4.59765625" style="12" customWidth="1"/>
    <col min="11517" max="11517" width="13.59765625" style="12" customWidth="1"/>
    <col min="11518" max="11518" width="52.1328125" style="12" customWidth="1"/>
    <col min="11519" max="11524" width="10.1328125" style="12" customWidth="1"/>
    <col min="11525" max="11771" width="9.1328125" style="12"/>
    <col min="11772" max="11772" width="4.59765625" style="12" customWidth="1"/>
    <col min="11773" max="11773" width="13.59765625" style="12" customWidth="1"/>
    <col min="11774" max="11774" width="52.1328125" style="12" customWidth="1"/>
    <col min="11775" max="11780" width="10.1328125" style="12" customWidth="1"/>
    <col min="11781" max="12027" width="9.1328125" style="12"/>
    <col min="12028" max="12028" width="4.59765625" style="12" customWidth="1"/>
    <col min="12029" max="12029" width="13.59765625" style="12" customWidth="1"/>
    <col min="12030" max="12030" width="52.1328125" style="12" customWidth="1"/>
    <col min="12031" max="12036" width="10.1328125" style="12" customWidth="1"/>
    <col min="12037" max="12283" width="9.1328125" style="12"/>
    <col min="12284" max="12284" width="4.59765625" style="12" customWidth="1"/>
    <col min="12285" max="12285" width="13.59765625" style="12" customWidth="1"/>
    <col min="12286" max="12286" width="52.1328125" style="12" customWidth="1"/>
    <col min="12287" max="12292" width="10.1328125" style="12" customWidth="1"/>
    <col min="12293" max="12539" width="9.1328125" style="12"/>
    <col min="12540" max="12540" width="4.59765625" style="12" customWidth="1"/>
    <col min="12541" max="12541" width="13.59765625" style="12" customWidth="1"/>
    <col min="12542" max="12542" width="52.1328125" style="12" customWidth="1"/>
    <col min="12543" max="12548" width="10.1328125" style="12" customWidth="1"/>
    <col min="12549" max="12795" width="9.1328125" style="12"/>
    <col min="12796" max="12796" width="4.59765625" style="12" customWidth="1"/>
    <col min="12797" max="12797" width="13.59765625" style="12" customWidth="1"/>
    <col min="12798" max="12798" width="52.1328125" style="12" customWidth="1"/>
    <col min="12799" max="12804" width="10.1328125" style="12" customWidth="1"/>
    <col min="12805" max="13051" width="9.1328125" style="12"/>
    <col min="13052" max="13052" width="4.59765625" style="12" customWidth="1"/>
    <col min="13053" max="13053" width="13.59765625" style="12" customWidth="1"/>
    <col min="13054" max="13054" width="52.1328125" style="12" customWidth="1"/>
    <col min="13055" max="13060" width="10.1328125" style="12" customWidth="1"/>
    <col min="13061" max="13307" width="9.1328125" style="12"/>
    <col min="13308" max="13308" width="4.59765625" style="12" customWidth="1"/>
    <col min="13309" max="13309" width="13.59765625" style="12" customWidth="1"/>
    <col min="13310" max="13310" width="52.1328125" style="12" customWidth="1"/>
    <col min="13311" max="13316" width="10.1328125" style="12" customWidth="1"/>
    <col min="13317" max="13563" width="9.1328125" style="12"/>
    <col min="13564" max="13564" width="4.59765625" style="12" customWidth="1"/>
    <col min="13565" max="13565" width="13.59765625" style="12" customWidth="1"/>
    <col min="13566" max="13566" width="52.1328125" style="12" customWidth="1"/>
    <col min="13567" max="13572" width="10.1328125" style="12" customWidth="1"/>
    <col min="13573" max="13819" width="9.1328125" style="12"/>
    <col min="13820" max="13820" width="4.59765625" style="12" customWidth="1"/>
    <col min="13821" max="13821" width="13.59765625" style="12" customWidth="1"/>
    <col min="13822" max="13822" width="52.1328125" style="12" customWidth="1"/>
    <col min="13823" max="13828" width="10.1328125" style="12" customWidth="1"/>
    <col min="13829" max="14075" width="9.1328125" style="12"/>
    <col min="14076" max="14076" width="4.59765625" style="12" customWidth="1"/>
    <col min="14077" max="14077" width="13.59765625" style="12" customWidth="1"/>
    <col min="14078" max="14078" width="52.1328125" style="12" customWidth="1"/>
    <col min="14079" max="14084" width="10.1328125" style="12" customWidth="1"/>
    <col min="14085" max="14331" width="9.1328125" style="12"/>
    <col min="14332" max="14332" width="4.59765625" style="12" customWidth="1"/>
    <col min="14333" max="14333" width="13.59765625" style="12" customWidth="1"/>
    <col min="14334" max="14334" width="52.1328125" style="12" customWidth="1"/>
    <col min="14335" max="14340" width="10.1328125" style="12" customWidth="1"/>
    <col min="14341" max="14587" width="9.1328125" style="12"/>
    <col min="14588" max="14588" width="4.59765625" style="12" customWidth="1"/>
    <col min="14589" max="14589" width="13.59765625" style="12" customWidth="1"/>
    <col min="14590" max="14590" width="52.1328125" style="12" customWidth="1"/>
    <col min="14591" max="14596" width="10.1328125" style="12" customWidth="1"/>
    <col min="14597" max="14843" width="9.1328125" style="12"/>
    <col min="14844" max="14844" width="4.59765625" style="12" customWidth="1"/>
    <col min="14845" max="14845" width="13.59765625" style="12" customWidth="1"/>
    <col min="14846" max="14846" width="52.1328125" style="12" customWidth="1"/>
    <col min="14847" max="14852" width="10.1328125" style="12" customWidth="1"/>
    <col min="14853" max="15099" width="9.1328125" style="12"/>
    <col min="15100" max="15100" width="4.59765625" style="12" customWidth="1"/>
    <col min="15101" max="15101" width="13.59765625" style="12" customWidth="1"/>
    <col min="15102" max="15102" width="52.1328125" style="12" customWidth="1"/>
    <col min="15103" max="15108" width="10.1328125" style="12" customWidth="1"/>
    <col min="15109" max="15355" width="9.1328125" style="12"/>
    <col min="15356" max="15356" width="4.59765625" style="12" customWidth="1"/>
    <col min="15357" max="15357" width="13.59765625" style="12" customWidth="1"/>
    <col min="15358" max="15358" width="52.1328125" style="12" customWidth="1"/>
    <col min="15359" max="15364" width="10.1328125" style="12" customWidth="1"/>
    <col min="15365" max="15611" width="9.1328125" style="12"/>
    <col min="15612" max="15612" width="4.59765625" style="12" customWidth="1"/>
    <col min="15613" max="15613" width="13.59765625" style="12" customWidth="1"/>
    <col min="15614" max="15614" width="52.1328125" style="12" customWidth="1"/>
    <col min="15615" max="15620" width="10.1328125" style="12" customWidth="1"/>
    <col min="15621" max="15867" width="9.1328125" style="12"/>
    <col min="15868" max="15868" width="4.59765625" style="12" customWidth="1"/>
    <col min="15869" max="15869" width="13.59765625" style="12" customWidth="1"/>
    <col min="15870" max="15870" width="52.1328125" style="12" customWidth="1"/>
    <col min="15871" max="15876" width="10.1328125" style="12" customWidth="1"/>
    <col min="15877" max="16123" width="9.1328125" style="12"/>
    <col min="16124" max="16124" width="4.59765625" style="12" customWidth="1"/>
    <col min="16125" max="16125" width="13.59765625" style="12" customWidth="1"/>
    <col min="16126" max="16126" width="52.1328125" style="12" customWidth="1"/>
    <col min="16127" max="16132" width="10.1328125" style="12" customWidth="1"/>
    <col min="16133" max="16383" width="9.1328125" style="12"/>
    <col min="16384" max="16384" width="9.1328125" style="12" customWidth="1"/>
  </cols>
  <sheetData>
    <row r="1" spans="1:8" s="1" customFormat="1" x14ac:dyDescent="0.45">
      <c r="A1" s="16"/>
      <c r="B1" s="16"/>
      <c r="C1" s="16"/>
      <c r="D1" s="16"/>
      <c r="E1" s="16"/>
      <c r="F1" s="16"/>
      <c r="G1" s="17"/>
      <c r="H1" s="16"/>
    </row>
    <row r="2" spans="1:8" s="1" customFormat="1" ht="36" customHeight="1" x14ac:dyDescent="0.45">
      <c r="A2" s="16"/>
      <c r="B2" s="96" t="s">
        <v>987</v>
      </c>
      <c r="C2" s="96"/>
      <c r="D2" s="96"/>
      <c r="E2" s="96"/>
      <c r="F2" s="96"/>
      <c r="G2" s="96"/>
      <c r="H2" s="16"/>
    </row>
    <row r="3" spans="1:8" s="1" customFormat="1" x14ac:dyDescent="0.45">
      <c r="A3" s="18"/>
      <c r="B3" s="97" t="s">
        <v>0</v>
      </c>
      <c r="C3" s="97"/>
      <c r="D3" s="97"/>
      <c r="E3" s="97"/>
      <c r="F3" s="97"/>
      <c r="G3" s="97"/>
      <c r="H3" s="16"/>
    </row>
    <row r="4" spans="1:8" s="1" customFormat="1" x14ac:dyDescent="0.45">
      <c r="A4" s="16"/>
      <c r="B4" s="16"/>
      <c r="C4" s="19"/>
      <c r="D4" s="19"/>
      <c r="E4" s="19"/>
      <c r="F4" s="19"/>
      <c r="G4" s="20"/>
      <c r="H4" s="16"/>
    </row>
    <row r="5" spans="1:8" s="1" customFormat="1" ht="15" x14ac:dyDescent="0.45">
      <c r="A5" s="7"/>
      <c r="B5" s="7"/>
      <c r="C5" s="100" t="s">
        <v>60</v>
      </c>
      <c r="D5" s="100"/>
      <c r="E5" s="100"/>
      <c r="F5" s="100"/>
      <c r="G5" s="21"/>
      <c r="H5" s="16"/>
    </row>
    <row r="6" spans="1:8" s="1" customFormat="1" x14ac:dyDescent="0.45">
      <c r="A6" s="18"/>
      <c r="B6" s="98"/>
      <c r="C6" s="98"/>
      <c r="D6" s="98"/>
      <c r="E6" s="98"/>
      <c r="F6" s="98"/>
      <c r="G6" s="98"/>
      <c r="H6" s="16"/>
    </row>
    <row r="7" spans="1:8" s="28" customFormat="1" ht="15.4" x14ac:dyDescent="0.45">
      <c r="A7" s="22"/>
      <c r="B7" s="22"/>
      <c r="C7" s="101" t="s">
        <v>788</v>
      </c>
      <c r="D7" s="101"/>
      <c r="E7" s="101"/>
      <c r="F7" s="22"/>
      <c r="G7" s="22"/>
      <c r="H7" s="16"/>
    </row>
    <row r="8" spans="1:8" s="29" customFormat="1" ht="22.5" customHeight="1" x14ac:dyDescent="0.45">
      <c r="A8" s="95" t="s">
        <v>3</v>
      </c>
      <c r="B8" s="95" t="s">
        <v>4</v>
      </c>
      <c r="C8" s="95" t="s">
        <v>5</v>
      </c>
      <c r="D8" s="95" t="s">
        <v>6</v>
      </c>
      <c r="E8" s="95" t="s">
        <v>7</v>
      </c>
      <c r="F8" s="102" t="s">
        <v>61</v>
      </c>
      <c r="G8" s="102"/>
    </row>
    <row r="9" spans="1:8" s="29" customFormat="1" ht="20.25" customHeight="1" x14ac:dyDescent="0.45">
      <c r="A9" s="95"/>
      <c r="B9" s="95"/>
      <c r="C9" s="95"/>
      <c r="D9" s="95"/>
      <c r="E9" s="95"/>
      <c r="F9" s="95" t="s">
        <v>63</v>
      </c>
      <c r="G9" s="95"/>
    </row>
    <row r="10" spans="1:8" s="29" customFormat="1" ht="19.5" customHeight="1" x14ac:dyDescent="0.45">
      <c r="A10" s="95"/>
      <c r="B10" s="95"/>
      <c r="C10" s="95"/>
      <c r="D10" s="95"/>
      <c r="E10" s="95"/>
      <c r="F10" s="26" t="s">
        <v>64</v>
      </c>
      <c r="G10" s="23" t="s">
        <v>65</v>
      </c>
    </row>
    <row r="11" spans="1:8" s="30" customFormat="1" x14ac:dyDescent="0.4">
      <c r="A11" s="24">
        <v>1</v>
      </c>
      <c r="B11" s="24">
        <v>2</v>
      </c>
      <c r="C11" s="24">
        <v>2</v>
      </c>
      <c r="D11" s="24">
        <v>3</v>
      </c>
      <c r="E11" s="24">
        <v>4</v>
      </c>
      <c r="F11" s="24">
        <v>5</v>
      </c>
      <c r="G11" s="25">
        <v>6</v>
      </c>
      <c r="H11" s="29"/>
    </row>
    <row r="12" spans="1:8" s="28" customFormat="1" x14ac:dyDescent="0.45">
      <c r="A12" s="32"/>
      <c r="B12" s="33"/>
      <c r="C12" s="34" t="s">
        <v>41</v>
      </c>
      <c r="D12" s="32"/>
      <c r="E12" s="35"/>
      <c r="F12" s="35"/>
      <c r="G12" s="36"/>
      <c r="H12" s="16"/>
    </row>
    <row r="13" spans="1:8" s="28" customFormat="1" x14ac:dyDescent="0.45">
      <c r="A13" s="37" t="s">
        <v>10</v>
      </c>
      <c r="B13" s="38"/>
      <c r="C13" s="38" t="s">
        <v>11</v>
      </c>
      <c r="D13" s="37" t="s">
        <v>12</v>
      </c>
      <c r="E13" s="82">
        <v>107703.5903</v>
      </c>
      <c r="F13" s="49">
        <v>25581.74</v>
      </c>
      <c r="G13" s="39">
        <f>E13*F13</f>
        <v>2755245244.1211219</v>
      </c>
      <c r="H13" s="16"/>
    </row>
    <row r="14" spans="1:8" s="28" customFormat="1" x14ac:dyDescent="0.45">
      <c r="A14" s="40"/>
      <c r="B14" s="103" t="s">
        <v>66</v>
      </c>
      <c r="C14" s="103"/>
      <c r="D14" s="40" t="s">
        <v>62</v>
      </c>
      <c r="E14" s="41"/>
      <c r="F14" s="41"/>
      <c r="G14" s="42">
        <f>SUM(G13)</f>
        <v>2755245244.1211219</v>
      </c>
      <c r="H14" s="16"/>
    </row>
    <row r="15" spans="1:8" s="28" customFormat="1" x14ac:dyDescent="0.45">
      <c r="A15" s="37"/>
      <c r="B15" s="38"/>
      <c r="C15" s="43" t="s">
        <v>42</v>
      </c>
      <c r="D15" s="37"/>
      <c r="E15" s="44"/>
      <c r="F15" s="44"/>
      <c r="G15" s="39"/>
      <c r="H15" s="16"/>
    </row>
    <row r="16" spans="1:8" s="28" customFormat="1" x14ac:dyDescent="0.45">
      <c r="A16" s="37" t="s">
        <v>10</v>
      </c>
      <c r="B16" s="38"/>
      <c r="C16" s="83" t="s">
        <v>539</v>
      </c>
      <c r="D16" s="84" t="s">
        <v>13</v>
      </c>
      <c r="E16" s="85">
        <v>37.607300000000002</v>
      </c>
      <c r="F16" s="86">
        <v>72437</v>
      </c>
      <c r="G16" s="39">
        <f t="shared" ref="G16:G68" si="0">E16*F16</f>
        <v>2724159.9901000001</v>
      </c>
      <c r="H16" s="16"/>
    </row>
    <row r="17" spans="1:8" s="28" customFormat="1" x14ac:dyDescent="0.45">
      <c r="A17" s="37" t="s">
        <v>15</v>
      </c>
      <c r="B17" s="38"/>
      <c r="C17" s="83" t="s">
        <v>501</v>
      </c>
      <c r="D17" s="84" t="s">
        <v>13</v>
      </c>
      <c r="E17" s="85">
        <v>19.36</v>
      </c>
      <c r="F17" s="86">
        <v>364087</v>
      </c>
      <c r="G17" s="39">
        <f t="shared" si="0"/>
        <v>7048724.3199999994</v>
      </c>
      <c r="H17" s="16"/>
    </row>
    <row r="18" spans="1:8" s="28" customFormat="1" x14ac:dyDescent="0.45">
      <c r="A18" s="37" t="s">
        <v>16</v>
      </c>
      <c r="B18" s="38"/>
      <c r="C18" s="83" t="s">
        <v>629</v>
      </c>
      <c r="D18" s="84" t="s">
        <v>13</v>
      </c>
      <c r="E18" s="85">
        <v>0.25600000000000001</v>
      </c>
      <c r="F18" s="86">
        <v>67284</v>
      </c>
      <c r="G18" s="39">
        <f t="shared" si="0"/>
        <v>17224.704000000002</v>
      </c>
      <c r="H18" s="16"/>
    </row>
    <row r="19" spans="1:8" s="28" customFormat="1" x14ac:dyDescent="0.45">
      <c r="A19" s="37" t="s">
        <v>17</v>
      </c>
      <c r="B19" s="38"/>
      <c r="C19" s="83" t="s">
        <v>482</v>
      </c>
      <c r="D19" s="84" t="s">
        <v>13</v>
      </c>
      <c r="E19" s="85">
        <v>456.43169999999998</v>
      </c>
      <c r="F19" s="86">
        <v>105272</v>
      </c>
      <c r="G19" s="39">
        <f t="shared" si="0"/>
        <v>48049477.922399998</v>
      </c>
      <c r="H19" s="16"/>
    </row>
    <row r="20" spans="1:8" s="28" customFormat="1" x14ac:dyDescent="0.45">
      <c r="A20" s="37" t="s">
        <v>24</v>
      </c>
      <c r="B20" s="38"/>
      <c r="C20" s="83" t="s">
        <v>468</v>
      </c>
      <c r="D20" s="84" t="s">
        <v>13</v>
      </c>
      <c r="E20" s="85">
        <v>2.5839999999999998E-2</v>
      </c>
      <c r="F20" s="86">
        <v>15574</v>
      </c>
      <c r="G20" s="39">
        <f t="shared" si="0"/>
        <v>402.43215999999995</v>
      </c>
      <c r="H20" s="16"/>
    </row>
    <row r="21" spans="1:8" s="28" customFormat="1" x14ac:dyDescent="0.45">
      <c r="A21" s="37" t="s">
        <v>27</v>
      </c>
      <c r="B21" s="38"/>
      <c r="C21" s="83" t="s">
        <v>141</v>
      </c>
      <c r="D21" s="84" t="s">
        <v>13</v>
      </c>
      <c r="E21" s="85">
        <v>919.15779999999995</v>
      </c>
      <c r="F21" s="86">
        <v>1081</v>
      </c>
      <c r="G21" s="39">
        <f t="shared" si="0"/>
        <v>993609.58179999993</v>
      </c>
      <c r="H21" s="16"/>
    </row>
    <row r="22" spans="1:8" s="28" customFormat="1" x14ac:dyDescent="0.45">
      <c r="A22" s="37" t="s">
        <v>28</v>
      </c>
      <c r="B22" s="38"/>
      <c r="C22" s="83" t="s">
        <v>601</v>
      </c>
      <c r="D22" s="84" t="s">
        <v>13</v>
      </c>
      <c r="E22" s="85">
        <v>1009.7076</v>
      </c>
      <c r="F22" s="86">
        <v>655</v>
      </c>
      <c r="G22" s="39">
        <f t="shared" si="0"/>
        <v>661358.478</v>
      </c>
      <c r="H22" s="16"/>
    </row>
    <row r="23" spans="1:8" s="28" customFormat="1" x14ac:dyDescent="0.45">
      <c r="A23" s="37" t="s">
        <v>29</v>
      </c>
      <c r="B23" s="38"/>
      <c r="C23" s="83" t="s">
        <v>979</v>
      </c>
      <c r="D23" s="84" t="s">
        <v>13</v>
      </c>
      <c r="E23" s="85">
        <v>120.613</v>
      </c>
      <c r="F23" s="86">
        <v>246</v>
      </c>
      <c r="G23" s="39">
        <f t="shared" si="0"/>
        <v>29670.797999999999</v>
      </c>
      <c r="H23" s="16"/>
    </row>
    <row r="24" spans="1:8" s="28" customFormat="1" x14ac:dyDescent="0.45">
      <c r="A24" s="37" t="s">
        <v>32</v>
      </c>
      <c r="B24" s="38"/>
      <c r="C24" s="83" t="s">
        <v>492</v>
      </c>
      <c r="D24" s="84" t="s">
        <v>13</v>
      </c>
      <c r="E24" s="85">
        <v>2.8140999999999998</v>
      </c>
      <c r="F24" s="86">
        <v>215797</v>
      </c>
      <c r="G24" s="39">
        <f t="shared" si="0"/>
        <v>607274.33769999992</v>
      </c>
      <c r="H24" s="16"/>
    </row>
    <row r="25" spans="1:8" s="28" customFormat="1" x14ac:dyDescent="0.45">
      <c r="A25" s="37" t="s">
        <v>33</v>
      </c>
      <c r="B25" s="38"/>
      <c r="C25" s="83" t="s">
        <v>797</v>
      </c>
      <c r="D25" s="84" t="s">
        <v>13</v>
      </c>
      <c r="E25" s="85">
        <v>0.31584000000000001</v>
      </c>
      <c r="F25" s="86">
        <v>1412</v>
      </c>
      <c r="G25" s="39">
        <f t="shared" si="0"/>
        <v>445.96608000000003</v>
      </c>
      <c r="H25" s="16"/>
    </row>
    <row r="26" spans="1:8" s="28" customFormat="1" x14ac:dyDescent="0.45">
      <c r="A26" s="37" t="s">
        <v>35</v>
      </c>
      <c r="B26" s="38"/>
      <c r="C26" s="83" t="s">
        <v>25</v>
      </c>
      <c r="D26" s="84" t="s">
        <v>13</v>
      </c>
      <c r="E26" s="85">
        <v>2880.8159999999998</v>
      </c>
      <c r="F26" s="86">
        <v>950</v>
      </c>
      <c r="G26" s="39">
        <f t="shared" si="0"/>
        <v>2736775.1999999997</v>
      </c>
      <c r="H26" s="16"/>
    </row>
    <row r="27" spans="1:8" s="28" customFormat="1" x14ac:dyDescent="0.45">
      <c r="A27" s="37" t="s">
        <v>36</v>
      </c>
      <c r="B27" s="38"/>
      <c r="C27" s="83" t="s">
        <v>483</v>
      </c>
      <c r="D27" s="84" t="s">
        <v>13</v>
      </c>
      <c r="E27" s="85">
        <v>542.73450000000003</v>
      </c>
      <c r="F27" s="86">
        <v>3441</v>
      </c>
      <c r="G27" s="39">
        <f t="shared" si="0"/>
        <v>1867549.4145000002</v>
      </c>
      <c r="H27" s="16"/>
    </row>
    <row r="28" spans="1:8" s="28" customFormat="1" x14ac:dyDescent="0.45">
      <c r="A28" s="37" t="s">
        <v>37</v>
      </c>
      <c r="B28" s="38"/>
      <c r="C28" s="83" t="s">
        <v>484</v>
      </c>
      <c r="D28" s="84" t="s">
        <v>13</v>
      </c>
      <c r="E28" s="85">
        <v>562.54650000000004</v>
      </c>
      <c r="F28" s="86">
        <v>85750</v>
      </c>
      <c r="G28" s="39">
        <f t="shared" si="0"/>
        <v>48238362.375</v>
      </c>
      <c r="H28" s="16"/>
    </row>
    <row r="29" spans="1:8" s="28" customFormat="1" x14ac:dyDescent="0.45">
      <c r="A29" s="37" t="s">
        <v>38</v>
      </c>
      <c r="B29" s="38"/>
      <c r="C29" s="83" t="s">
        <v>556</v>
      </c>
      <c r="D29" s="84" t="s">
        <v>13</v>
      </c>
      <c r="E29" s="85">
        <v>603.91959999999995</v>
      </c>
      <c r="F29" s="86">
        <v>59819</v>
      </c>
      <c r="G29" s="39">
        <f t="shared" si="0"/>
        <v>36125866.5524</v>
      </c>
      <c r="H29" s="16"/>
    </row>
    <row r="30" spans="1:8" s="31" customFormat="1" x14ac:dyDescent="0.45">
      <c r="A30" s="37" t="s">
        <v>39</v>
      </c>
      <c r="B30" s="38"/>
      <c r="C30" s="83" t="s">
        <v>18</v>
      </c>
      <c r="D30" s="84" t="s">
        <v>13</v>
      </c>
      <c r="E30" s="85">
        <v>284.45069999999998</v>
      </c>
      <c r="F30" s="86">
        <v>127627</v>
      </c>
      <c r="G30" s="39">
        <f t="shared" si="0"/>
        <v>36303589.488899998</v>
      </c>
      <c r="H30" s="16"/>
    </row>
    <row r="31" spans="1:8" s="31" customFormat="1" x14ac:dyDescent="0.45">
      <c r="A31" s="37" t="s">
        <v>40</v>
      </c>
      <c r="B31" s="38"/>
      <c r="C31" s="83" t="s">
        <v>502</v>
      </c>
      <c r="D31" s="84" t="s">
        <v>13</v>
      </c>
      <c r="E31" s="85">
        <v>0.44</v>
      </c>
      <c r="F31" s="86">
        <v>160588</v>
      </c>
      <c r="G31" s="39">
        <f t="shared" si="0"/>
        <v>70658.720000000001</v>
      </c>
      <c r="H31" s="16"/>
    </row>
    <row r="32" spans="1:8" s="31" customFormat="1" x14ac:dyDescent="0.45">
      <c r="A32" s="37" t="s">
        <v>44</v>
      </c>
      <c r="B32" s="38"/>
      <c r="C32" s="83" t="s">
        <v>526</v>
      </c>
      <c r="D32" s="84" t="s">
        <v>13</v>
      </c>
      <c r="E32" s="85">
        <v>51.017600000000002</v>
      </c>
      <c r="F32" s="86">
        <v>126283</v>
      </c>
      <c r="G32" s="39">
        <f t="shared" si="0"/>
        <v>6442655.5808000006</v>
      </c>
      <c r="H32" s="16"/>
    </row>
    <row r="33" spans="1:8" s="31" customFormat="1" x14ac:dyDescent="0.45">
      <c r="A33" s="37" t="s">
        <v>45</v>
      </c>
      <c r="B33" s="38"/>
      <c r="C33" s="83" t="s">
        <v>509</v>
      </c>
      <c r="D33" s="84" t="s">
        <v>13</v>
      </c>
      <c r="E33" s="85">
        <v>466.92610000000002</v>
      </c>
      <c r="F33" s="86">
        <v>3164</v>
      </c>
      <c r="G33" s="39">
        <f t="shared" si="0"/>
        <v>1477354.1804</v>
      </c>
      <c r="H33" s="16"/>
    </row>
    <row r="34" spans="1:8" s="31" customFormat="1" x14ac:dyDescent="0.45">
      <c r="A34" s="37" t="s">
        <v>46</v>
      </c>
      <c r="B34" s="38"/>
      <c r="C34" s="83" t="s">
        <v>469</v>
      </c>
      <c r="D34" s="84" t="s">
        <v>13</v>
      </c>
      <c r="E34" s="85">
        <v>5.04</v>
      </c>
      <c r="F34" s="86">
        <v>1207</v>
      </c>
      <c r="G34" s="39">
        <f t="shared" si="0"/>
        <v>6083.28</v>
      </c>
      <c r="H34" s="16"/>
    </row>
    <row r="35" spans="1:8" s="31" customFormat="1" x14ac:dyDescent="0.45">
      <c r="A35" s="37" t="s">
        <v>47</v>
      </c>
      <c r="B35" s="38"/>
      <c r="C35" s="83" t="s">
        <v>673</v>
      </c>
      <c r="D35" s="84" t="s">
        <v>13</v>
      </c>
      <c r="E35" s="85">
        <v>24.715</v>
      </c>
      <c r="F35" s="86">
        <v>1604</v>
      </c>
      <c r="G35" s="39">
        <f t="shared" si="0"/>
        <v>39642.86</v>
      </c>
      <c r="H35" s="16"/>
    </row>
    <row r="36" spans="1:8" s="31" customFormat="1" x14ac:dyDescent="0.45">
      <c r="A36" s="37" t="s">
        <v>48</v>
      </c>
      <c r="B36" s="38"/>
      <c r="C36" s="83" t="s">
        <v>485</v>
      </c>
      <c r="D36" s="84" t="s">
        <v>13</v>
      </c>
      <c r="E36" s="85">
        <v>26.8706</v>
      </c>
      <c r="F36" s="86">
        <v>97872</v>
      </c>
      <c r="G36" s="39">
        <f t="shared" si="0"/>
        <v>2629879.3632</v>
      </c>
      <c r="H36" s="16"/>
    </row>
    <row r="37" spans="1:8" s="31" customFormat="1" x14ac:dyDescent="0.45">
      <c r="A37" s="37" t="s">
        <v>49</v>
      </c>
      <c r="B37" s="38"/>
      <c r="C37" s="83" t="s">
        <v>677</v>
      </c>
      <c r="D37" s="84" t="s">
        <v>13</v>
      </c>
      <c r="E37" s="85">
        <v>6.8540000000000001</v>
      </c>
      <c r="F37" s="86">
        <v>2033</v>
      </c>
      <c r="G37" s="39">
        <f t="shared" si="0"/>
        <v>13934.182000000001</v>
      </c>
      <c r="H37" s="16"/>
    </row>
    <row r="38" spans="1:8" s="31" customFormat="1" x14ac:dyDescent="0.45">
      <c r="A38" s="37" t="s">
        <v>50</v>
      </c>
      <c r="B38" s="38"/>
      <c r="C38" s="83" t="s">
        <v>233</v>
      </c>
      <c r="D38" s="84" t="s">
        <v>13</v>
      </c>
      <c r="E38" s="85">
        <v>20.6219</v>
      </c>
      <c r="F38" s="86">
        <v>2033</v>
      </c>
      <c r="G38" s="39">
        <f t="shared" si="0"/>
        <v>41924.322699999997</v>
      </c>
      <c r="H38" s="16"/>
    </row>
    <row r="39" spans="1:8" s="31" customFormat="1" x14ac:dyDescent="0.45">
      <c r="A39" s="37" t="s">
        <v>51</v>
      </c>
      <c r="B39" s="38"/>
      <c r="C39" s="83" t="s">
        <v>234</v>
      </c>
      <c r="D39" s="84" t="s">
        <v>13</v>
      </c>
      <c r="E39" s="85">
        <v>7.5476000000000001</v>
      </c>
      <c r="F39" s="86">
        <v>11102</v>
      </c>
      <c r="G39" s="39">
        <f t="shared" si="0"/>
        <v>83793.455199999997</v>
      </c>
      <c r="H39" s="16"/>
    </row>
    <row r="40" spans="1:8" s="31" customFormat="1" x14ac:dyDescent="0.45">
      <c r="A40" s="37" t="s">
        <v>52</v>
      </c>
      <c r="B40" s="38"/>
      <c r="C40" s="83" t="s">
        <v>654</v>
      </c>
      <c r="D40" s="84" t="s">
        <v>13</v>
      </c>
      <c r="E40" s="85">
        <v>6669.7804999999998</v>
      </c>
      <c r="F40" s="86">
        <v>1403</v>
      </c>
      <c r="G40" s="39">
        <f t="shared" si="0"/>
        <v>9357702.0415000003</v>
      </c>
      <c r="H40" s="16"/>
    </row>
    <row r="41" spans="1:8" s="31" customFormat="1" x14ac:dyDescent="0.45">
      <c r="A41" s="37" t="s">
        <v>53</v>
      </c>
      <c r="B41" s="38"/>
      <c r="C41" s="83" t="s">
        <v>641</v>
      </c>
      <c r="D41" s="84" t="s">
        <v>13</v>
      </c>
      <c r="E41" s="85">
        <v>4.6173999999999999</v>
      </c>
      <c r="F41" s="86">
        <v>1087</v>
      </c>
      <c r="G41" s="39">
        <f t="shared" si="0"/>
        <v>5019.1138000000001</v>
      </c>
      <c r="H41" s="16"/>
    </row>
    <row r="42" spans="1:8" s="31" customFormat="1" x14ac:dyDescent="0.45">
      <c r="A42" s="37" t="s">
        <v>54</v>
      </c>
      <c r="B42" s="38"/>
      <c r="C42" s="83" t="s">
        <v>540</v>
      </c>
      <c r="D42" s="84" t="s">
        <v>13</v>
      </c>
      <c r="E42" s="85">
        <v>5.7424999999999997</v>
      </c>
      <c r="F42" s="86">
        <v>916</v>
      </c>
      <c r="G42" s="39">
        <f t="shared" si="0"/>
        <v>5260.13</v>
      </c>
      <c r="H42" s="16"/>
    </row>
    <row r="43" spans="1:8" s="31" customFormat="1" x14ac:dyDescent="0.45">
      <c r="A43" s="37" t="s">
        <v>55</v>
      </c>
      <c r="B43" s="38"/>
      <c r="C43" s="83" t="s">
        <v>889</v>
      </c>
      <c r="D43" s="84" t="s">
        <v>13</v>
      </c>
      <c r="E43" s="85">
        <v>42.408000000000001</v>
      </c>
      <c r="F43" s="86">
        <v>1152</v>
      </c>
      <c r="G43" s="39">
        <f t="shared" si="0"/>
        <v>48854.016000000003</v>
      </c>
      <c r="H43" s="16"/>
    </row>
    <row r="44" spans="1:8" s="31" customFormat="1" x14ac:dyDescent="0.45">
      <c r="A44" s="37" t="s">
        <v>56</v>
      </c>
      <c r="B44" s="38"/>
      <c r="C44" s="83" t="s">
        <v>716</v>
      </c>
      <c r="D44" s="84" t="s">
        <v>13</v>
      </c>
      <c r="E44" s="85">
        <v>0.79659000000000002</v>
      </c>
      <c r="F44" s="86">
        <v>4553</v>
      </c>
      <c r="G44" s="39">
        <f t="shared" si="0"/>
        <v>3626.8742700000003</v>
      </c>
      <c r="H44" s="16"/>
    </row>
    <row r="45" spans="1:8" s="31" customFormat="1" x14ac:dyDescent="0.45">
      <c r="A45" s="37" t="s">
        <v>57</v>
      </c>
      <c r="B45" s="38"/>
      <c r="C45" s="83" t="s">
        <v>674</v>
      </c>
      <c r="D45" s="84" t="s">
        <v>13</v>
      </c>
      <c r="E45" s="85">
        <v>41.421999999999997</v>
      </c>
      <c r="F45" s="86">
        <v>21603</v>
      </c>
      <c r="G45" s="39">
        <f t="shared" si="0"/>
        <v>894839.4659999999</v>
      </c>
      <c r="H45" s="16"/>
    </row>
    <row r="46" spans="1:8" s="31" customFormat="1" x14ac:dyDescent="0.45">
      <c r="A46" s="37" t="s">
        <v>58</v>
      </c>
      <c r="B46" s="38"/>
      <c r="C46" s="83" t="s">
        <v>695</v>
      </c>
      <c r="D46" s="84" t="s">
        <v>13</v>
      </c>
      <c r="E46" s="85">
        <v>792.14269999999999</v>
      </c>
      <c r="F46" s="86">
        <v>18787</v>
      </c>
      <c r="G46" s="39">
        <f t="shared" si="0"/>
        <v>14881984.904899999</v>
      </c>
      <c r="H46" s="16"/>
    </row>
    <row r="47" spans="1:8" s="31" customFormat="1" ht="23.25" x14ac:dyDescent="0.45">
      <c r="A47" s="37" t="s">
        <v>59</v>
      </c>
      <c r="B47" s="38"/>
      <c r="C47" s="83" t="s">
        <v>486</v>
      </c>
      <c r="D47" s="84" t="s">
        <v>13</v>
      </c>
      <c r="E47" s="85">
        <v>425.577</v>
      </c>
      <c r="F47" s="86">
        <v>116430</v>
      </c>
      <c r="G47" s="39">
        <f t="shared" si="0"/>
        <v>49549930.109999999</v>
      </c>
      <c r="H47" s="16"/>
    </row>
    <row r="48" spans="1:8" s="31" customFormat="1" x14ac:dyDescent="0.45">
      <c r="A48" s="37" t="s">
        <v>78</v>
      </c>
      <c r="B48" s="38"/>
      <c r="C48" s="83" t="s">
        <v>717</v>
      </c>
      <c r="D48" s="84" t="s">
        <v>13</v>
      </c>
      <c r="E48" s="85">
        <v>40.086100000000002</v>
      </c>
      <c r="F48" s="86">
        <v>26529</v>
      </c>
      <c r="G48" s="39">
        <f t="shared" si="0"/>
        <v>1063444.1469000001</v>
      </c>
      <c r="H48" s="16"/>
    </row>
    <row r="49" spans="1:8" s="31" customFormat="1" ht="23.25" x14ac:dyDescent="0.45">
      <c r="A49" s="37" t="s">
        <v>79</v>
      </c>
      <c r="B49" s="38"/>
      <c r="C49" s="83" t="s">
        <v>487</v>
      </c>
      <c r="D49" s="84" t="s">
        <v>13</v>
      </c>
      <c r="E49" s="85">
        <v>23.0505</v>
      </c>
      <c r="F49" s="86">
        <v>83912</v>
      </c>
      <c r="G49" s="39">
        <f t="shared" si="0"/>
        <v>1934213.5559999999</v>
      </c>
      <c r="H49" s="16"/>
    </row>
    <row r="50" spans="1:8" s="31" customFormat="1" x14ac:dyDescent="0.45">
      <c r="A50" s="37" t="s">
        <v>80</v>
      </c>
      <c r="B50" s="38"/>
      <c r="C50" s="83" t="s">
        <v>488</v>
      </c>
      <c r="D50" s="84" t="s">
        <v>13</v>
      </c>
      <c r="E50" s="85">
        <v>542.73450000000003</v>
      </c>
      <c r="F50" s="86">
        <v>101814</v>
      </c>
      <c r="G50" s="39">
        <f t="shared" si="0"/>
        <v>55257970.383000001</v>
      </c>
      <c r="H50" s="16"/>
    </row>
    <row r="51" spans="1:8" s="31" customFormat="1" x14ac:dyDescent="0.45">
      <c r="A51" s="37" t="s">
        <v>81</v>
      </c>
      <c r="B51" s="38"/>
      <c r="C51" s="83" t="s">
        <v>613</v>
      </c>
      <c r="D51" s="84" t="s">
        <v>13</v>
      </c>
      <c r="E51" s="85">
        <v>25.263999999999999</v>
      </c>
      <c r="F51" s="86">
        <v>862</v>
      </c>
      <c r="G51" s="39">
        <f t="shared" si="0"/>
        <v>21777.567999999999</v>
      </c>
      <c r="H51" s="16"/>
    </row>
    <row r="52" spans="1:8" s="31" customFormat="1" x14ac:dyDescent="0.45">
      <c r="A52" s="37" t="s">
        <v>82</v>
      </c>
      <c r="B52" s="38"/>
      <c r="C52" s="83" t="s">
        <v>712</v>
      </c>
      <c r="D52" s="84" t="s">
        <v>13</v>
      </c>
      <c r="E52" s="85">
        <v>29.3124</v>
      </c>
      <c r="F52" s="86">
        <v>22614</v>
      </c>
      <c r="G52" s="39">
        <f t="shared" si="0"/>
        <v>662870.61360000004</v>
      </c>
      <c r="H52" s="16"/>
    </row>
    <row r="53" spans="1:8" s="31" customFormat="1" ht="23.25" x14ac:dyDescent="0.45">
      <c r="A53" s="37" t="s">
        <v>83</v>
      </c>
      <c r="B53" s="38"/>
      <c r="C53" s="83" t="s">
        <v>479</v>
      </c>
      <c r="D53" s="84" t="s">
        <v>13</v>
      </c>
      <c r="E53" s="85">
        <v>29.39</v>
      </c>
      <c r="F53" s="86">
        <v>101890</v>
      </c>
      <c r="G53" s="39">
        <f t="shared" si="0"/>
        <v>2994547.1</v>
      </c>
      <c r="H53" s="16"/>
    </row>
    <row r="54" spans="1:8" s="31" customFormat="1" ht="23.25" x14ac:dyDescent="0.45">
      <c r="A54" s="37" t="s">
        <v>84</v>
      </c>
      <c r="B54" s="38"/>
      <c r="C54" s="83" t="s">
        <v>804</v>
      </c>
      <c r="D54" s="84" t="s">
        <v>13</v>
      </c>
      <c r="E54" s="85">
        <v>647.65539999999999</v>
      </c>
      <c r="F54" s="86">
        <v>117684</v>
      </c>
      <c r="G54" s="39">
        <f t="shared" si="0"/>
        <v>76218678.093600005</v>
      </c>
      <c r="H54" s="16"/>
    </row>
    <row r="55" spans="1:8" s="31" customFormat="1" x14ac:dyDescent="0.45">
      <c r="A55" s="37" t="s">
        <v>85</v>
      </c>
      <c r="B55" s="38"/>
      <c r="C55" s="83" t="s">
        <v>107</v>
      </c>
      <c r="D55" s="84" t="s">
        <v>13</v>
      </c>
      <c r="E55" s="85">
        <v>141.88849999999999</v>
      </c>
      <c r="F55" s="86">
        <v>7132</v>
      </c>
      <c r="G55" s="39">
        <f t="shared" si="0"/>
        <v>1011948.782</v>
      </c>
      <c r="H55" s="16"/>
    </row>
    <row r="56" spans="1:8" s="31" customFormat="1" x14ac:dyDescent="0.45">
      <c r="A56" s="37" t="s">
        <v>86</v>
      </c>
      <c r="B56" s="38"/>
      <c r="C56" s="83" t="s">
        <v>678</v>
      </c>
      <c r="D56" s="84" t="s">
        <v>13</v>
      </c>
      <c r="E56" s="85">
        <v>217.55969999999999</v>
      </c>
      <c r="F56" s="86">
        <v>1303</v>
      </c>
      <c r="G56" s="39">
        <f t="shared" si="0"/>
        <v>283480.28909999999</v>
      </c>
      <c r="H56" s="16"/>
    </row>
    <row r="57" spans="1:8" s="31" customFormat="1" x14ac:dyDescent="0.45">
      <c r="A57" s="37" t="s">
        <v>87</v>
      </c>
      <c r="B57" s="38"/>
      <c r="C57" s="83" t="s">
        <v>19</v>
      </c>
      <c r="D57" s="84" t="s">
        <v>13</v>
      </c>
      <c r="E57" s="85">
        <v>79.698599999999999</v>
      </c>
      <c r="F57" s="86">
        <v>54548</v>
      </c>
      <c r="G57" s="39">
        <f t="shared" si="0"/>
        <v>4347399.2328000003</v>
      </c>
      <c r="H57" s="16"/>
    </row>
    <row r="58" spans="1:8" s="31" customFormat="1" x14ac:dyDescent="0.45">
      <c r="A58" s="37" t="s">
        <v>88</v>
      </c>
      <c r="B58" s="38"/>
      <c r="C58" s="83" t="s">
        <v>19</v>
      </c>
      <c r="D58" s="84" t="s">
        <v>13</v>
      </c>
      <c r="E58" s="85">
        <v>272.36919999999998</v>
      </c>
      <c r="F58" s="86">
        <v>54548</v>
      </c>
      <c r="G58" s="39">
        <f t="shared" si="0"/>
        <v>14857195.121599998</v>
      </c>
      <c r="H58" s="16"/>
    </row>
    <row r="59" spans="1:8" s="31" customFormat="1" x14ac:dyDescent="0.45">
      <c r="A59" s="37" t="s">
        <v>89</v>
      </c>
      <c r="B59" s="38"/>
      <c r="C59" s="83" t="s">
        <v>71</v>
      </c>
      <c r="D59" s="84" t="s">
        <v>13</v>
      </c>
      <c r="E59" s="85">
        <v>15.7369</v>
      </c>
      <c r="F59" s="86">
        <v>71069</v>
      </c>
      <c r="G59" s="39">
        <f t="shared" si="0"/>
        <v>1118405.7461000001</v>
      </c>
      <c r="H59" s="16"/>
    </row>
    <row r="60" spans="1:8" s="31" customFormat="1" x14ac:dyDescent="0.45">
      <c r="A60" s="37" t="s">
        <v>90</v>
      </c>
      <c r="B60" s="38"/>
      <c r="C60" s="83" t="s">
        <v>679</v>
      </c>
      <c r="D60" s="84" t="s">
        <v>13</v>
      </c>
      <c r="E60" s="85">
        <v>37.25</v>
      </c>
      <c r="F60" s="86">
        <v>121105</v>
      </c>
      <c r="G60" s="39">
        <f t="shared" si="0"/>
        <v>4511161.25</v>
      </c>
      <c r="H60" s="16"/>
    </row>
    <row r="61" spans="1:8" s="31" customFormat="1" x14ac:dyDescent="0.45">
      <c r="A61" s="37" t="s">
        <v>91</v>
      </c>
      <c r="B61" s="38"/>
      <c r="C61" s="83" t="s">
        <v>72</v>
      </c>
      <c r="D61" s="84" t="s">
        <v>13</v>
      </c>
      <c r="E61" s="85">
        <v>53.950699999999998</v>
      </c>
      <c r="F61" s="86">
        <v>1077</v>
      </c>
      <c r="G61" s="39">
        <f t="shared" si="0"/>
        <v>58104.903899999998</v>
      </c>
      <c r="H61" s="16"/>
    </row>
    <row r="62" spans="1:8" s="31" customFormat="1" x14ac:dyDescent="0.45">
      <c r="A62" s="37" t="s">
        <v>92</v>
      </c>
      <c r="B62" s="38"/>
      <c r="C62" s="83" t="s">
        <v>73</v>
      </c>
      <c r="D62" s="84" t="s">
        <v>13</v>
      </c>
      <c r="E62" s="87">
        <v>6</v>
      </c>
      <c r="F62" s="86">
        <v>1802</v>
      </c>
      <c r="G62" s="39">
        <f t="shared" si="0"/>
        <v>10812</v>
      </c>
      <c r="H62" s="16"/>
    </row>
    <row r="63" spans="1:8" s="31" customFormat="1" x14ac:dyDescent="0.45">
      <c r="A63" s="37" t="s">
        <v>93</v>
      </c>
      <c r="B63" s="38"/>
      <c r="C63" s="83" t="s">
        <v>73</v>
      </c>
      <c r="D63" s="84" t="s">
        <v>13</v>
      </c>
      <c r="E63" s="85">
        <v>3016.3296</v>
      </c>
      <c r="F63" s="86">
        <v>1802</v>
      </c>
      <c r="G63" s="39">
        <f t="shared" si="0"/>
        <v>5435425.9391999999</v>
      </c>
      <c r="H63" s="16"/>
    </row>
    <row r="64" spans="1:8" s="31" customFormat="1" x14ac:dyDescent="0.45">
      <c r="A64" s="37" t="s">
        <v>94</v>
      </c>
      <c r="B64" s="38"/>
      <c r="C64" s="83" t="s">
        <v>712</v>
      </c>
      <c r="D64" s="84" t="s">
        <v>13</v>
      </c>
      <c r="E64" s="85">
        <v>13.0853</v>
      </c>
      <c r="F64" s="86">
        <v>14763</v>
      </c>
      <c r="G64" s="39">
        <f t="shared" si="0"/>
        <v>193178.28390000001</v>
      </c>
      <c r="H64" s="16"/>
    </row>
    <row r="65" spans="1:8" s="31" customFormat="1" x14ac:dyDescent="0.45">
      <c r="A65" s="37" t="s">
        <v>95</v>
      </c>
      <c r="B65" s="38"/>
      <c r="C65" s="83" t="s">
        <v>25</v>
      </c>
      <c r="D65" s="84" t="s">
        <v>13</v>
      </c>
      <c r="E65" s="85">
        <v>7.2</v>
      </c>
      <c r="F65" s="86">
        <v>950</v>
      </c>
      <c r="G65" s="39">
        <f t="shared" si="0"/>
        <v>6840</v>
      </c>
      <c r="H65" s="16"/>
    </row>
    <row r="66" spans="1:8" s="48" customFormat="1" x14ac:dyDescent="0.45">
      <c r="A66" s="37" t="s">
        <v>96</v>
      </c>
      <c r="B66" s="38"/>
      <c r="C66" s="83" t="s">
        <v>473</v>
      </c>
      <c r="D66" s="84" t="s">
        <v>13</v>
      </c>
      <c r="E66" s="85">
        <v>678.89700000000005</v>
      </c>
      <c r="F66" s="86">
        <v>1455</v>
      </c>
      <c r="G66" s="39">
        <f t="shared" si="0"/>
        <v>987795.13500000013</v>
      </c>
      <c r="H66" s="16"/>
    </row>
    <row r="67" spans="1:8" s="48" customFormat="1" x14ac:dyDescent="0.45">
      <c r="A67" s="37" t="s">
        <v>97</v>
      </c>
      <c r="B67" s="38"/>
      <c r="C67" s="83" t="s">
        <v>909</v>
      </c>
      <c r="D67" s="84" t="s">
        <v>13</v>
      </c>
      <c r="E67" s="85">
        <v>1.2030000000000001</v>
      </c>
      <c r="F67" s="86">
        <v>5228</v>
      </c>
      <c r="G67" s="39">
        <f t="shared" si="0"/>
        <v>6289.2840000000006</v>
      </c>
      <c r="H67" s="16"/>
    </row>
    <row r="68" spans="1:8" s="48" customFormat="1" x14ac:dyDescent="0.45">
      <c r="A68" s="37" t="s">
        <v>98</v>
      </c>
      <c r="B68" s="38"/>
      <c r="C68" s="83" t="s">
        <v>810</v>
      </c>
      <c r="D68" s="84" t="s">
        <v>13</v>
      </c>
      <c r="E68" s="85">
        <v>743.4991</v>
      </c>
      <c r="F68" s="86">
        <v>188030</v>
      </c>
      <c r="G68" s="39">
        <f t="shared" si="0"/>
        <v>139800135.773</v>
      </c>
      <c r="H68" s="16"/>
    </row>
    <row r="69" spans="1:8" s="28" customFormat="1" x14ac:dyDescent="0.45">
      <c r="A69" s="40"/>
      <c r="B69" s="103" t="s">
        <v>67</v>
      </c>
      <c r="C69" s="103"/>
      <c r="D69" s="40" t="s">
        <v>62</v>
      </c>
      <c r="E69" s="41"/>
      <c r="F69" s="41"/>
      <c r="G69" s="42">
        <f>SUM(G16:G68)</f>
        <v>581739307.36351013</v>
      </c>
      <c r="H69" s="16"/>
    </row>
    <row r="70" spans="1:8" s="28" customFormat="1" x14ac:dyDescent="0.45">
      <c r="A70" s="37"/>
      <c r="B70" s="38"/>
      <c r="C70" s="43" t="s">
        <v>43</v>
      </c>
      <c r="D70" s="37"/>
      <c r="E70" s="44"/>
      <c r="F70" s="44"/>
      <c r="G70" s="39"/>
      <c r="H70" s="16"/>
    </row>
    <row r="71" spans="1:8" s="28" customFormat="1" x14ac:dyDescent="0.45">
      <c r="A71" s="37" t="s">
        <v>10</v>
      </c>
      <c r="B71" s="38"/>
      <c r="C71" s="88" t="s">
        <v>142</v>
      </c>
      <c r="D71" s="89" t="s">
        <v>23</v>
      </c>
      <c r="E71" s="90">
        <v>141.727</v>
      </c>
      <c r="F71" s="91">
        <v>333499</v>
      </c>
      <c r="G71" s="39">
        <f t="shared" ref="G71:G139" si="1">E71*F71</f>
        <v>47265812.773000002</v>
      </c>
      <c r="H71" s="16"/>
    </row>
    <row r="72" spans="1:8" s="28" customFormat="1" x14ac:dyDescent="0.45">
      <c r="A72" s="37" t="s">
        <v>15</v>
      </c>
      <c r="B72" s="38"/>
      <c r="C72" s="88" t="s">
        <v>527</v>
      </c>
      <c r="D72" s="89" t="s">
        <v>23</v>
      </c>
      <c r="E72" s="90">
        <v>22.858899999999998</v>
      </c>
      <c r="F72" s="91">
        <v>360770</v>
      </c>
      <c r="G72" s="39">
        <f t="shared" si="1"/>
        <v>8246805.3529999992</v>
      </c>
      <c r="H72" s="16"/>
    </row>
    <row r="73" spans="1:8" s="28" customFormat="1" x14ac:dyDescent="0.45">
      <c r="A73" s="37" t="s">
        <v>16</v>
      </c>
      <c r="B73" s="38"/>
      <c r="C73" s="88" t="s">
        <v>548</v>
      </c>
      <c r="D73" s="89" t="s">
        <v>23</v>
      </c>
      <c r="E73" s="90">
        <v>217.80889999999999</v>
      </c>
      <c r="F73" s="91">
        <v>387336</v>
      </c>
      <c r="G73" s="39">
        <f t="shared" si="1"/>
        <v>84365228.090399995</v>
      </c>
      <c r="H73" s="16"/>
    </row>
    <row r="74" spans="1:8" s="28" customFormat="1" x14ac:dyDescent="0.45">
      <c r="A74" s="37" t="s">
        <v>17</v>
      </c>
      <c r="B74" s="38"/>
      <c r="C74" s="88" t="s">
        <v>503</v>
      </c>
      <c r="D74" s="89" t="s">
        <v>23</v>
      </c>
      <c r="E74" s="90">
        <v>816.93290000000002</v>
      </c>
      <c r="F74" s="91">
        <v>418763</v>
      </c>
      <c r="G74" s="39">
        <f t="shared" si="1"/>
        <v>342101272.00270003</v>
      </c>
      <c r="H74" s="16"/>
    </row>
    <row r="75" spans="1:8" s="28" customFormat="1" x14ac:dyDescent="0.45">
      <c r="A75" s="37" t="s">
        <v>24</v>
      </c>
      <c r="B75" s="38"/>
      <c r="C75" s="88" t="s">
        <v>617</v>
      </c>
      <c r="D75" s="89" t="s">
        <v>23</v>
      </c>
      <c r="E75" s="90">
        <v>688.10199999999998</v>
      </c>
      <c r="F75" s="91">
        <v>460342</v>
      </c>
      <c r="G75" s="39">
        <f t="shared" si="1"/>
        <v>316762250.884</v>
      </c>
      <c r="H75" s="16"/>
    </row>
    <row r="76" spans="1:8" s="28" customFormat="1" x14ac:dyDescent="0.45">
      <c r="A76" s="37" t="s">
        <v>27</v>
      </c>
      <c r="B76" s="38"/>
      <c r="C76" s="88" t="s">
        <v>634</v>
      </c>
      <c r="D76" s="89" t="s">
        <v>23</v>
      </c>
      <c r="E76" s="90">
        <v>26.01</v>
      </c>
      <c r="F76" s="91">
        <v>387336</v>
      </c>
      <c r="G76" s="39">
        <f t="shared" si="1"/>
        <v>10074609.360000001</v>
      </c>
      <c r="H76" s="16"/>
    </row>
    <row r="77" spans="1:8" s="28" customFormat="1" x14ac:dyDescent="0.45">
      <c r="A77" s="37" t="s">
        <v>28</v>
      </c>
      <c r="B77" s="38"/>
      <c r="C77" s="88" t="s">
        <v>74</v>
      </c>
      <c r="D77" s="89" t="s">
        <v>23</v>
      </c>
      <c r="E77" s="90">
        <v>372.65219999999999</v>
      </c>
      <c r="F77" s="91">
        <v>950</v>
      </c>
      <c r="G77" s="39">
        <f t="shared" si="1"/>
        <v>354019.58999999997</v>
      </c>
      <c r="H77" s="16"/>
    </row>
    <row r="78" spans="1:8" s="28" customFormat="1" x14ac:dyDescent="0.45">
      <c r="A78" s="37" t="s">
        <v>29</v>
      </c>
      <c r="B78" s="38"/>
      <c r="C78" s="88" t="s">
        <v>985</v>
      </c>
      <c r="D78" s="89" t="s">
        <v>587</v>
      </c>
      <c r="E78" s="90">
        <v>70.339299999999994</v>
      </c>
      <c r="F78" s="91">
        <v>1100000</v>
      </c>
      <c r="G78" s="39">
        <f t="shared" si="1"/>
        <v>77373230</v>
      </c>
      <c r="H78" s="16"/>
    </row>
    <row r="79" spans="1:8" s="28" customFormat="1" x14ac:dyDescent="0.45">
      <c r="A79" s="37" t="s">
        <v>32</v>
      </c>
      <c r="B79" s="38"/>
      <c r="C79" s="88" t="s">
        <v>670</v>
      </c>
      <c r="D79" s="89" t="s">
        <v>23</v>
      </c>
      <c r="E79" s="90">
        <v>17.754000000000001</v>
      </c>
      <c r="F79" s="91">
        <v>64528</v>
      </c>
      <c r="G79" s="39">
        <f t="shared" si="1"/>
        <v>1145630.1120000002</v>
      </c>
      <c r="H79" s="16"/>
    </row>
    <row r="80" spans="1:8" s="28" customFormat="1" x14ac:dyDescent="0.45">
      <c r="A80" s="37" t="s">
        <v>33</v>
      </c>
      <c r="B80" s="38"/>
      <c r="C80" s="88" t="s">
        <v>235</v>
      </c>
      <c r="D80" s="89" t="s">
        <v>23</v>
      </c>
      <c r="E80" s="90">
        <v>50.08</v>
      </c>
      <c r="F80" s="91">
        <v>295154</v>
      </c>
      <c r="G80" s="39">
        <f t="shared" si="1"/>
        <v>14781312.32</v>
      </c>
      <c r="H80" s="16"/>
    </row>
    <row r="81" spans="1:8" s="28" customFormat="1" x14ac:dyDescent="0.45">
      <c r="A81" s="37" t="s">
        <v>35</v>
      </c>
      <c r="B81" s="38"/>
      <c r="C81" s="88" t="s">
        <v>720</v>
      </c>
      <c r="D81" s="89" t="s">
        <v>23</v>
      </c>
      <c r="E81" s="90">
        <v>209.03870000000001</v>
      </c>
      <c r="F81" s="91">
        <v>405664</v>
      </c>
      <c r="G81" s="39">
        <f t="shared" si="1"/>
        <v>84799475.196800008</v>
      </c>
      <c r="H81" s="16"/>
    </row>
    <row r="82" spans="1:8" s="28" customFormat="1" x14ac:dyDescent="0.45">
      <c r="A82" s="37" t="s">
        <v>36</v>
      </c>
      <c r="B82" s="38"/>
      <c r="C82" s="88" t="s">
        <v>696</v>
      </c>
      <c r="D82" s="89" t="s">
        <v>23</v>
      </c>
      <c r="E82" s="90">
        <v>207.3409</v>
      </c>
      <c r="F82" s="91">
        <v>332390</v>
      </c>
      <c r="G82" s="39">
        <f t="shared" si="1"/>
        <v>68918041.751000002</v>
      </c>
      <c r="H82" s="16"/>
    </row>
    <row r="83" spans="1:8" s="28" customFormat="1" x14ac:dyDescent="0.45">
      <c r="A83" s="37" t="s">
        <v>37</v>
      </c>
      <c r="B83" s="38"/>
      <c r="C83" s="88" t="s">
        <v>671</v>
      </c>
      <c r="D83" s="89" t="s">
        <v>23</v>
      </c>
      <c r="E83" s="90">
        <v>43.037999999999997</v>
      </c>
      <c r="F83" s="91">
        <v>341964</v>
      </c>
      <c r="G83" s="39">
        <f t="shared" si="1"/>
        <v>14717446.631999999</v>
      </c>
      <c r="H83" s="16"/>
    </row>
    <row r="84" spans="1:8" s="28" customFormat="1" x14ac:dyDescent="0.45">
      <c r="A84" s="37" t="s">
        <v>38</v>
      </c>
      <c r="B84" s="38"/>
      <c r="C84" s="88" t="s">
        <v>665</v>
      </c>
      <c r="D84" s="89" t="s">
        <v>23</v>
      </c>
      <c r="E84" s="90">
        <v>38.911999999999999</v>
      </c>
      <c r="F84" s="91">
        <v>341964</v>
      </c>
      <c r="G84" s="39">
        <f t="shared" si="1"/>
        <v>13306503.168</v>
      </c>
      <c r="H84" s="16"/>
    </row>
    <row r="85" spans="1:8" s="28" customFormat="1" x14ac:dyDescent="0.45">
      <c r="A85" s="37" t="s">
        <v>39</v>
      </c>
      <c r="B85" s="38"/>
      <c r="C85" s="88" t="s">
        <v>618</v>
      </c>
      <c r="D85" s="89" t="s">
        <v>23</v>
      </c>
      <c r="E85" s="90">
        <v>1.0502</v>
      </c>
      <c r="F85" s="91">
        <v>332390</v>
      </c>
      <c r="G85" s="39">
        <f t="shared" si="1"/>
        <v>349075.978</v>
      </c>
      <c r="H85" s="16"/>
    </row>
    <row r="86" spans="1:8" s="28" customFormat="1" x14ac:dyDescent="0.45">
      <c r="A86" s="37" t="s">
        <v>40</v>
      </c>
      <c r="B86" s="38"/>
      <c r="C86" s="88" t="s">
        <v>528</v>
      </c>
      <c r="D86" s="89" t="s">
        <v>23</v>
      </c>
      <c r="E86" s="90">
        <v>14.045</v>
      </c>
      <c r="F86" s="91">
        <v>405664</v>
      </c>
      <c r="G86" s="39">
        <f t="shared" si="1"/>
        <v>5697550.8799999999</v>
      </c>
      <c r="H86" s="16"/>
    </row>
    <row r="87" spans="1:8" s="28" customFormat="1" x14ac:dyDescent="0.45">
      <c r="A87" s="37" t="s">
        <v>44</v>
      </c>
      <c r="B87" s="38"/>
      <c r="C87" s="88" t="s">
        <v>698</v>
      </c>
      <c r="D87" s="89" t="s">
        <v>14</v>
      </c>
      <c r="E87" s="90">
        <v>73.971900000000005</v>
      </c>
      <c r="F87" s="91">
        <v>1160000</v>
      </c>
      <c r="G87" s="39">
        <f t="shared" si="1"/>
        <v>85807404</v>
      </c>
      <c r="H87" s="16"/>
    </row>
    <row r="88" spans="1:8" s="28" customFormat="1" x14ac:dyDescent="0.45">
      <c r="A88" s="37" t="s">
        <v>45</v>
      </c>
      <c r="B88" s="38"/>
      <c r="C88" s="88" t="s">
        <v>680</v>
      </c>
      <c r="D88" s="89" t="s">
        <v>14</v>
      </c>
      <c r="E88" s="90">
        <v>0.745</v>
      </c>
      <c r="F88" s="91">
        <v>1027000</v>
      </c>
      <c r="G88" s="39">
        <f t="shared" si="1"/>
        <v>765115</v>
      </c>
      <c r="H88" s="16"/>
    </row>
    <row r="89" spans="1:8" s="28" customFormat="1" x14ac:dyDescent="0.45">
      <c r="A89" s="37" t="s">
        <v>46</v>
      </c>
      <c r="B89" s="38"/>
      <c r="C89" s="88" t="s">
        <v>874</v>
      </c>
      <c r="D89" s="89" t="s">
        <v>21</v>
      </c>
      <c r="E89" s="92">
        <v>190</v>
      </c>
      <c r="F89" s="91">
        <v>215000</v>
      </c>
      <c r="G89" s="39">
        <f t="shared" si="1"/>
        <v>40850000</v>
      </c>
      <c r="H89" s="16"/>
    </row>
    <row r="90" spans="1:8" s="28" customFormat="1" x14ac:dyDescent="0.45">
      <c r="A90" s="37" t="s">
        <v>47</v>
      </c>
      <c r="B90" s="38"/>
      <c r="C90" s="88" t="s">
        <v>983</v>
      </c>
      <c r="D90" s="89" t="s">
        <v>21</v>
      </c>
      <c r="E90" s="90">
        <v>1712.6</v>
      </c>
      <c r="F90" s="91">
        <v>50000</v>
      </c>
      <c r="G90" s="39">
        <f t="shared" si="1"/>
        <v>85630000</v>
      </c>
      <c r="H90" s="16"/>
    </row>
    <row r="91" spans="1:8" s="28" customFormat="1" x14ac:dyDescent="0.45">
      <c r="A91" s="37" t="s">
        <v>48</v>
      </c>
      <c r="B91" s="38"/>
      <c r="C91" s="88" t="s">
        <v>573</v>
      </c>
      <c r="D91" s="89" t="s">
        <v>76</v>
      </c>
      <c r="E91" s="90">
        <v>23271.2487</v>
      </c>
      <c r="F91" s="91">
        <v>1475</v>
      </c>
      <c r="G91" s="39">
        <f t="shared" si="1"/>
        <v>34325091.832500003</v>
      </c>
      <c r="H91" s="16"/>
    </row>
    <row r="92" spans="1:8" s="28" customFormat="1" x14ac:dyDescent="0.45">
      <c r="A92" s="37" t="s">
        <v>49</v>
      </c>
      <c r="B92" s="38"/>
      <c r="C92" s="88" t="s">
        <v>577</v>
      </c>
      <c r="D92" s="89" t="s">
        <v>23</v>
      </c>
      <c r="E92" s="90">
        <v>186.25409999999999</v>
      </c>
      <c r="F92" s="91">
        <v>434783</v>
      </c>
      <c r="G92" s="39">
        <f t="shared" si="1"/>
        <v>80980116.360300004</v>
      </c>
      <c r="H92" s="16"/>
    </row>
    <row r="93" spans="1:8" s="28" customFormat="1" x14ac:dyDescent="0.45">
      <c r="A93" s="37" t="s">
        <v>50</v>
      </c>
      <c r="B93" s="38"/>
      <c r="C93" s="88" t="s">
        <v>580</v>
      </c>
      <c r="D93" s="89" t="s">
        <v>23</v>
      </c>
      <c r="E93" s="90">
        <v>953.79349999999999</v>
      </c>
      <c r="F93" s="91">
        <v>434783</v>
      </c>
      <c r="G93" s="39">
        <f t="shared" si="1"/>
        <v>414693199.31050003</v>
      </c>
      <c r="H93" s="16"/>
    </row>
    <row r="94" spans="1:8" s="28" customFormat="1" x14ac:dyDescent="0.45">
      <c r="A94" s="37" t="s">
        <v>51</v>
      </c>
      <c r="B94" s="38"/>
      <c r="C94" s="88" t="s">
        <v>514</v>
      </c>
      <c r="D94" s="89" t="s">
        <v>23</v>
      </c>
      <c r="E94" s="90">
        <v>14.31</v>
      </c>
      <c r="F94" s="91">
        <v>257388</v>
      </c>
      <c r="G94" s="39">
        <f t="shared" si="1"/>
        <v>3683222.2800000003</v>
      </c>
      <c r="H94" s="16"/>
    </row>
    <row r="95" spans="1:8" s="28" customFormat="1" x14ac:dyDescent="0.45">
      <c r="A95" s="37" t="s">
        <v>52</v>
      </c>
      <c r="B95" s="38"/>
      <c r="C95" s="88" t="s">
        <v>885</v>
      </c>
      <c r="D95" s="89" t="s">
        <v>76</v>
      </c>
      <c r="E95" s="92">
        <v>193</v>
      </c>
      <c r="F95" s="91">
        <v>10714</v>
      </c>
      <c r="G95" s="39">
        <f t="shared" si="1"/>
        <v>2067802</v>
      </c>
      <c r="H95" s="16"/>
    </row>
    <row r="96" spans="1:8" s="28" customFormat="1" x14ac:dyDescent="0.45">
      <c r="A96" s="37" t="s">
        <v>53</v>
      </c>
      <c r="B96" s="38"/>
      <c r="C96" s="88" t="s">
        <v>986</v>
      </c>
      <c r="D96" s="89" t="s">
        <v>76</v>
      </c>
      <c r="E96" s="92">
        <v>1158</v>
      </c>
      <c r="F96" s="91">
        <v>42321</v>
      </c>
      <c r="G96" s="39">
        <f t="shared" si="1"/>
        <v>49007718</v>
      </c>
      <c r="H96" s="16"/>
    </row>
    <row r="97" spans="1:8" s="28" customFormat="1" x14ac:dyDescent="0.45">
      <c r="A97" s="37" t="s">
        <v>54</v>
      </c>
      <c r="B97" s="38"/>
      <c r="C97" s="88" t="s">
        <v>910</v>
      </c>
      <c r="D97" s="89" t="s">
        <v>30</v>
      </c>
      <c r="E97" s="92">
        <v>240</v>
      </c>
      <c r="F97" s="91">
        <v>2800</v>
      </c>
      <c r="G97" s="39">
        <f t="shared" si="1"/>
        <v>672000</v>
      </c>
      <c r="H97" s="16"/>
    </row>
    <row r="98" spans="1:8" s="28" customFormat="1" x14ac:dyDescent="0.45">
      <c r="A98" s="37" t="s">
        <v>55</v>
      </c>
      <c r="B98" s="38"/>
      <c r="C98" s="88" t="s">
        <v>911</v>
      </c>
      <c r="D98" s="89" t="s">
        <v>21</v>
      </c>
      <c r="E98" s="92">
        <v>33</v>
      </c>
      <c r="F98" s="91">
        <v>120000</v>
      </c>
      <c r="G98" s="39">
        <f t="shared" si="1"/>
        <v>3960000</v>
      </c>
      <c r="H98" s="16"/>
    </row>
    <row r="99" spans="1:8" s="28" customFormat="1" x14ac:dyDescent="0.45">
      <c r="A99" s="37" t="s">
        <v>56</v>
      </c>
      <c r="B99" s="38"/>
      <c r="C99" s="88" t="s">
        <v>728</v>
      </c>
      <c r="D99" s="89" t="s">
        <v>21</v>
      </c>
      <c r="E99" s="90">
        <v>153.30600000000001</v>
      </c>
      <c r="F99" s="91">
        <v>120000</v>
      </c>
      <c r="G99" s="39">
        <f t="shared" si="1"/>
        <v>18396720</v>
      </c>
      <c r="H99" s="16"/>
    </row>
    <row r="100" spans="1:8" s="28" customFormat="1" x14ac:dyDescent="0.45">
      <c r="A100" s="37" t="s">
        <v>57</v>
      </c>
      <c r="B100" s="38"/>
      <c r="C100" s="88" t="s">
        <v>766</v>
      </c>
      <c r="D100" s="89" t="s">
        <v>21</v>
      </c>
      <c r="E100" s="90">
        <v>526.79999999999995</v>
      </c>
      <c r="F100" s="91">
        <v>718750</v>
      </c>
      <c r="G100" s="39">
        <f t="shared" si="1"/>
        <v>378637499.99999994</v>
      </c>
      <c r="H100" s="16"/>
    </row>
    <row r="101" spans="1:8" s="28" customFormat="1" x14ac:dyDescent="0.45">
      <c r="A101" s="37" t="s">
        <v>58</v>
      </c>
      <c r="B101" s="38"/>
      <c r="C101" s="88" t="s">
        <v>929</v>
      </c>
      <c r="D101" s="89" t="s">
        <v>31</v>
      </c>
      <c r="E101" s="90">
        <v>441.76</v>
      </c>
      <c r="F101" s="91">
        <v>4500</v>
      </c>
      <c r="G101" s="39">
        <f t="shared" si="1"/>
        <v>1987920</v>
      </c>
      <c r="H101" s="16"/>
    </row>
    <row r="102" spans="1:8" s="28" customFormat="1" x14ac:dyDescent="0.45">
      <c r="A102" s="37" t="s">
        <v>59</v>
      </c>
      <c r="B102" s="38"/>
      <c r="C102" s="88" t="s">
        <v>747</v>
      </c>
      <c r="D102" s="89" t="s">
        <v>14</v>
      </c>
      <c r="E102" s="90">
        <v>14.78</v>
      </c>
      <c r="F102" s="91">
        <v>4642857</v>
      </c>
      <c r="G102" s="39">
        <f t="shared" si="1"/>
        <v>68621426.459999993</v>
      </c>
      <c r="H102" s="16"/>
    </row>
    <row r="103" spans="1:8" s="28" customFormat="1" x14ac:dyDescent="0.45">
      <c r="A103" s="37" t="s">
        <v>78</v>
      </c>
      <c r="B103" s="38"/>
      <c r="C103" s="88" t="s">
        <v>748</v>
      </c>
      <c r="D103" s="89" t="s">
        <v>14</v>
      </c>
      <c r="E103" s="90">
        <v>2.9150999999999998</v>
      </c>
      <c r="F103" s="91">
        <v>5357000</v>
      </c>
      <c r="G103" s="39">
        <f t="shared" si="1"/>
        <v>15616190.699999999</v>
      </c>
      <c r="H103" s="16"/>
    </row>
    <row r="104" spans="1:8" s="28" customFormat="1" x14ac:dyDescent="0.45">
      <c r="A104" s="37" t="s">
        <v>79</v>
      </c>
      <c r="B104" s="38"/>
      <c r="C104" s="88" t="s">
        <v>26</v>
      </c>
      <c r="D104" s="89" t="s">
        <v>14</v>
      </c>
      <c r="E104" s="90">
        <v>0.14831900000000001</v>
      </c>
      <c r="F104" s="91">
        <v>14000000</v>
      </c>
      <c r="G104" s="39">
        <f t="shared" si="1"/>
        <v>2076466</v>
      </c>
      <c r="H104" s="16"/>
    </row>
    <row r="105" spans="1:8" s="28" customFormat="1" x14ac:dyDescent="0.45">
      <c r="A105" s="37" t="s">
        <v>80</v>
      </c>
      <c r="B105" s="38"/>
      <c r="C105" s="88" t="s">
        <v>943</v>
      </c>
      <c r="D105" s="89" t="s">
        <v>14</v>
      </c>
      <c r="E105" s="90">
        <v>0.70694699999999999</v>
      </c>
      <c r="F105" s="91">
        <v>19375000</v>
      </c>
      <c r="G105" s="39">
        <f t="shared" si="1"/>
        <v>13697098.125</v>
      </c>
      <c r="H105" s="16"/>
    </row>
    <row r="106" spans="1:8" s="28" customFormat="1" x14ac:dyDescent="0.45">
      <c r="A106" s="37" t="s">
        <v>81</v>
      </c>
      <c r="B106" s="38"/>
      <c r="C106" s="88" t="s">
        <v>657</v>
      </c>
      <c r="D106" s="89" t="s">
        <v>14</v>
      </c>
      <c r="E106" s="90">
        <v>1.6720000000000001E-3</v>
      </c>
      <c r="F106" s="91">
        <v>9652145</v>
      </c>
      <c r="G106" s="39">
        <f t="shared" si="1"/>
        <v>16138.38644</v>
      </c>
      <c r="H106" s="16"/>
    </row>
    <row r="107" spans="1:8" s="28" customFormat="1" x14ac:dyDescent="0.45">
      <c r="A107" s="37" t="s">
        <v>82</v>
      </c>
      <c r="B107" s="38"/>
      <c r="C107" s="88" t="s">
        <v>666</v>
      </c>
      <c r="D107" s="89" t="s">
        <v>14</v>
      </c>
      <c r="E107" s="90">
        <v>2.0750999999999999E-2</v>
      </c>
      <c r="F107" s="91">
        <v>9652145</v>
      </c>
      <c r="G107" s="39">
        <f t="shared" si="1"/>
        <v>200291.66089499998</v>
      </c>
      <c r="H107" s="16"/>
    </row>
    <row r="108" spans="1:8" s="28" customFormat="1" x14ac:dyDescent="0.45">
      <c r="A108" s="37" t="s">
        <v>83</v>
      </c>
      <c r="B108" s="38"/>
      <c r="C108" s="88" t="s">
        <v>595</v>
      </c>
      <c r="D108" s="89" t="s">
        <v>14</v>
      </c>
      <c r="E108" s="90">
        <v>2.0699999999999998E-3</v>
      </c>
      <c r="F108" s="91">
        <v>9652145</v>
      </c>
      <c r="G108" s="39">
        <f t="shared" si="1"/>
        <v>19979.940149999999</v>
      </c>
      <c r="H108" s="16"/>
    </row>
    <row r="109" spans="1:8" s="28" customFormat="1" x14ac:dyDescent="0.45">
      <c r="A109" s="37" t="s">
        <v>84</v>
      </c>
      <c r="B109" s="38"/>
      <c r="C109" s="88" t="s">
        <v>20</v>
      </c>
      <c r="D109" s="89" t="s">
        <v>14</v>
      </c>
      <c r="E109" s="90">
        <v>0.55252900000000005</v>
      </c>
      <c r="F109" s="91">
        <v>9652145</v>
      </c>
      <c r="G109" s="39">
        <f t="shared" si="1"/>
        <v>5333090.0247050002</v>
      </c>
      <c r="H109" s="16"/>
    </row>
    <row r="110" spans="1:8" s="28" customFormat="1" x14ac:dyDescent="0.45">
      <c r="A110" s="37" t="s">
        <v>85</v>
      </c>
      <c r="B110" s="38"/>
      <c r="C110" s="88" t="s">
        <v>106</v>
      </c>
      <c r="D110" s="89" t="s">
        <v>14</v>
      </c>
      <c r="E110" s="90">
        <v>0.83603400000000005</v>
      </c>
      <c r="F110" s="91">
        <v>650000</v>
      </c>
      <c r="G110" s="39">
        <f t="shared" si="1"/>
        <v>543422.10000000009</v>
      </c>
      <c r="H110" s="16"/>
    </row>
    <row r="111" spans="1:8" s="28" customFormat="1" ht="23.25" x14ac:dyDescent="0.45">
      <c r="A111" s="37" t="s">
        <v>86</v>
      </c>
      <c r="B111" s="38"/>
      <c r="C111" s="88" t="s">
        <v>753</v>
      </c>
      <c r="D111" s="89" t="s">
        <v>21</v>
      </c>
      <c r="E111" s="90">
        <v>855.57600000000002</v>
      </c>
      <c r="F111" s="91">
        <v>52174</v>
      </c>
      <c r="G111" s="39">
        <f t="shared" si="1"/>
        <v>44638822.223999999</v>
      </c>
      <c r="H111" s="16"/>
    </row>
    <row r="112" spans="1:8" s="28" customFormat="1" x14ac:dyDescent="0.45">
      <c r="A112" s="37" t="s">
        <v>87</v>
      </c>
      <c r="B112" s="38"/>
      <c r="C112" s="88" t="s">
        <v>652</v>
      </c>
      <c r="D112" s="89" t="s">
        <v>30</v>
      </c>
      <c r="E112" s="90">
        <v>3289.5</v>
      </c>
      <c r="F112" s="91">
        <v>45</v>
      </c>
      <c r="G112" s="39">
        <f t="shared" si="1"/>
        <v>148027.5</v>
      </c>
      <c r="H112" s="16"/>
    </row>
    <row r="113" spans="1:8" s="28" customFormat="1" x14ac:dyDescent="0.45">
      <c r="A113" s="37" t="s">
        <v>88</v>
      </c>
      <c r="B113" s="38"/>
      <c r="C113" s="88" t="s">
        <v>653</v>
      </c>
      <c r="D113" s="89" t="s">
        <v>30</v>
      </c>
      <c r="E113" s="90">
        <v>413.1</v>
      </c>
      <c r="F113" s="91">
        <v>85</v>
      </c>
      <c r="G113" s="39">
        <f t="shared" si="1"/>
        <v>35113.5</v>
      </c>
      <c r="H113" s="16"/>
    </row>
    <row r="114" spans="1:8" s="28" customFormat="1" x14ac:dyDescent="0.45">
      <c r="A114" s="37" t="s">
        <v>89</v>
      </c>
      <c r="B114" s="38"/>
      <c r="C114" s="88" t="s">
        <v>777</v>
      </c>
      <c r="D114" s="89" t="s">
        <v>30</v>
      </c>
      <c r="E114" s="92">
        <v>816</v>
      </c>
      <c r="F114" s="91">
        <v>275</v>
      </c>
      <c r="G114" s="39">
        <f t="shared" si="1"/>
        <v>224400</v>
      </c>
      <c r="H114" s="16"/>
    </row>
    <row r="115" spans="1:8" s="28" customFormat="1" x14ac:dyDescent="0.45">
      <c r="A115" s="37" t="s">
        <v>90</v>
      </c>
      <c r="B115" s="38"/>
      <c r="C115" s="88" t="s">
        <v>769</v>
      </c>
      <c r="D115" s="89" t="s">
        <v>31</v>
      </c>
      <c r="E115" s="90">
        <v>1903.2460000000001</v>
      </c>
      <c r="F115" s="91">
        <v>250</v>
      </c>
      <c r="G115" s="39">
        <f t="shared" si="1"/>
        <v>475811.5</v>
      </c>
      <c r="H115" s="16"/>
    </row>
    <row r="116" spans="1:8" s="28" customFormat="1" x14ac:dyDescent="0.45">
      <c r="A116" s="37" t="s">
        <v>91</v>
      </c>
      <c r="B116" s="38"/>
      <c r="C116" s="88" t="s">
        <v>778</v>
      </c>
      <c r="D116" s="89" t="s">
        <v>31</v>
      </c>
      <c r="E116" s="90">
        <v>43.86</v>
      </c>
      <c r="F116" s="91">
        <v>250</v>
      </c>
      <c r="G116" s="39">
        <f t="shared" si="1"/>
        <v>10965</v>
      </c>
      <c r="H116" s="16"/>
    </row>
    <row r="117" spans="1:8" s="28" customFormat="1" x14ac:dyDescent="0.45">
      <c r="A117" s="37" t="s">
        <v>92</v>
      </c>
      <c r="B117" s="38"/>
      <c r="C117" s="88" t="s">
        <v>779</v>
      </c>
      <c r="D117" s="89" t="s">
        <v>31</v>
      </c>
      <c r="E117" s="90">
        <v>298.86</v>
      </c>
      <c r="F117" s="91">
        <v>250</v>
      </c>
      <c r="G117" s="39">
        <f t="shared" si="1"/>
        <v>74715</v>
      </c>
      <c r="H117" s="16"/>
    </row>
    <row r="118" spans="1:8" s="28" customFormat="1" x14ac:dyDescent="0.45">
      <c r="A118" s="37" t="s">
        <v>93</v>
      </c>
      <c r="B118" s="38"/>
      <c r="C118" s="88" t="s">
        <v>770</v>
      </c>
      <c r="D118" s="89" t="s">
        <v>21</v>
      </c>
      <c r="E118" s="90">
        <v>457.6</v>
      </c>
      <c r="F118" s="91">
        <v>833905</v>
      </c>
      <c r="G118" s="39">
        <f t="shared" si="1"/>
        <v>381594928</v>
      </c>
      <c r="H118" s="16"/>
    </row>
    <row r="119" spans="1:8" s="28" customFormat="1" x14ac:dyDescent="0.45">
      <c r="A119" s="37" t="s">
        <v>94</v>
      </c>
      <c r="B119" s="38"/>
      <c r="C119" s="88" t="s">
        <v>780</v>
      </c>
      <c r="D119" s="89" t="s">
        <v>21</v>
      </c>
      <c r="E119" s="92">
        <v>102</v>
      </c>
      <c r="F119" s="91">
        <v>850762</v>
      </c>
      <c r="G119" s="39">
        <f t="shared" si="1"/>
        <v>86777724</v>
      </c>
      <c r="H119" s="16"/>
    </row>
    <row r="120" spans="1:8" s="28" customFormat="1" x14ac:dyDescent="0.45">
      <c r="A120" s="37" t="s">
        <v>95</v>
      </c>
      <c r="B120" s="38"/>
      <c r="C120" s="88" t="s">
        <v>781</v>
      </c>
      <c r="D120" s="89" t="s">
        <v>370</v>
      </c>
      <c r="E120" s="90">
        <v>66.504000000000005</v>
      </c>
      <c r="F120" s="91">
        <v>3000</v>
      </c>
      <c r="G120" s="39">
        <f t="shared" si="1"/>
        <v>199512.00000000003</v>
      </c>
      <c r="H120" s="16"/>
    </row>
    <row r="121" spans="1:8" s="28" customFormat="1" x14ac:dyDescent="0.45">
      <c r="A121" s="37" t="s">
        <v>96</v>
      </c>
      <c r="B121" s="38"/>
      <c r="C121" s="88" t="s">
        <v>944</v>
      </c>
      <c r="D121" s="89" t="s">
        <v>14</v>
      </c>
      <c r="E121" s="90">
        <v>0.15010499999999999</v>
      </c>
      <c r="F121" s="91">
        <v>27312000</v>
      </c>
      <c r="G121" s="39">
        <f t="shared" si="1"/>
        <v>4099667.76</v>
      </c>
      <c r="H121" s="16"/>
    </row>
    <row r="122" spans="1:8" s="28" customFormat="1" x14ac:dyDescent="0.45">
      <c r="A122" s="37" t="s">
        <v>97</v>
      </c>
      <c r="B122" s="38"/>
      <c r="C122" s="88" t="s">
        <v>704</v>
      </c>
      <c r="D122" s="89" t="s">
        <v>14</v>
      </c>
      <c r="E122" s="90">
        <v>12.9466</v>
      </c>
      <c r="F122" s="91">
        <v>7598000</v>
      </c>
      <c r="G122" s="39">
        <f t="shared" si="1"/>
        <v>98368266.799999997</v>
      </c>
      <c r="H122" s="16"/>
    </row>
    <row r="123" spans="1:8" s="28" customFormat="1" x14ac:dyDescent="0.45">
      <c r="A123" s="37" t="s">
        <v>98</v>
      </c>
      <c r="B123" s="38"/>
      <c r="C123" s="88" t="s">
        <v>754</v>
      </c>
      <c r="D123" s="89" t="s">
        <v>76</v>
      </c>
      <c r="E123" s="90">
        <v>3774.6</v>
      </c>
      <c r="F123" s="91">
        <v>880</v>
      </c>
      <c r="G123" s="39">
        <f t="shared" si="1"/>
        <v>3321648</v>
      </c>
      <c r="H123" s="16"/>
    </row>
    <row r="124" spans="1:8" s="28" customFormat="1" x14ac:dyDescent="0.45">
      <c r="A124" s="37" t="s">
        <v>99</v>
      </c>
      <c r="B124" s="38"/>
      <c r="C124" s="88" t="s">
        <v>236</v>
      </c>
      <c r="D124" s="89" t="s">
        <v>14</v>
      </c>
      <c r="E124" s="90">
        <v>7.5240000000000003E-3</v>
      </c>
      <c r="F124" s="91">
        <v>15000000</v>
      </c>
      <c r="G124" s="39">
        <f t="shared" si="1"/>
        <v>112860</v>
      </c>
      <c r="H124" s="16"/>
    </row>
    <row r="125" spans="1:8" s="28" customFormat="1" x14ac:dyDescent="0.45">
      <c r="A125" s="37" t="s">
        <v>100</v>
      </c>
      <c r="B125" s="38"/>
      <c r="C125" s="88" t="s">
        <v>890</v>
      </c>
      <c r="D125" s="89" t="s">
        <v>14</v>
      </c>
      <c r="E125" s="90">
        <v>0.19964000000000001</v>
      </c>
      <c r="F125" s="91">
        <v>18482000</v>
      </c>
      <c r="G125" s="39">
        <f t="shared" si="1"/>
        <v>3689746.4800000004</v>
      </c>
      <c r="H125" s="16"/>
    </row>
    <row r="126" spans="1:8" s="28" customFormat="1" x14ac:dyDescent="0.45">
      <c r="A126" s="37" t="s">
        <v>101</v>
      </c>
      <c r="B126" s="38"/>
      <c r="C126" s="88" t="s">
        <v>699</v>
      </c>
      <c r="D126" s="89" t="s">
        <v>14</v>
      </c>
      <c r="E126" s="90">
        <v>4.3323</v>
      </c>
      <c r="F126" s="91">
        <v>11400000</v>
      </c>
      <c r="G126" s="39">
        <f t="shared" si="1"/>
        <v>49388220</v>
      </c>
      <c r="H126" s="16"/>
    </row>
    <row r="127" spans="1:8" s="28" customFormat="1" x14ac:dyDescent="0.45">
      <c r="A127" s="37" t="s">
        <v>102</v>
      </c>
      <c r="B127" s="38"/>
      <c r="C127" s="88" t="s">
        <v>771</v>
      </c>
      <c r="D127" s="89" t="s">
        <v>30</v>
      </c>
      <c r="E127" s="90">
        <v>2545.7890000000002</v>
      </c>
      <c r="F127" s="91">
        <v>996</v>
      </c>
      <c r="G127" s="39">
        <f t="shared" si="1"/>
        <v>2535605.844</v>
      </c>
      <c r="H127" s="16"/>
    </row>
    <row r="128" spans="1:8" s="28" customFormat="1" x14ac:dyDescent="0.45">
      <c r="A128" s="37" t="s">
        <v>103</v>
      </c>
      <c r="B128" s="38"/>
      <c r="C128" s="88" t="s">
        <v>749</v>
      </c>
      <c r="D128" s="89" t="s">
        <v>14</v>
      </c>
      <c r="E128" s="90">
        <v>4.8585000000000003</v>
      </c>
      <c r="F128" s="91">
        <v>14453043</v>
      </c>
      <c r="G128" s="39">
        <f t="shared" si="1"/>
        <v>70220109.4155</v>
      </c>
      <c r="H128" s="16"/>
    </row>
    <row r="129" spans="1:8" s="28" customFormat="1" x14ac:dyDescent="0.45">
      <c r="A129" s="37" t="s">
        <v>104</v>
      </c>
      <c r="B129" s="38"/>
      <c r="C129" s="88" t="s">
        <v>237</v>
      </c>
      <c r="D129" s="89" t="s">
        <v>14</v>
      </c>
      <c r="E129" s="90">
        <v>1.4563E-2</v>
      </c>
      <c r="F129" s="91">
        <v>14453043</v>
      </c>
      <c r="G129" s="39">
        <f t="shared" si="1"/>
        <v>210479.665209</v>
      </c>
      <c r="H129" s="16"/>
    </row>
    <row r="130" spans="1:8" s="28" customFormat="1" x14ac:dyDescent="0.45">
      <c r="A130" s="37" t="s">
        <v>105</v>
      </c>
      <c r="B130" s="38"/>
      <c r="C130" s="88" t="s">
        <v>738</v>
      </c>
      <c r="D130" s="89" t="s">
        <v>76</v>
      </c>
      <c r="E130" s="90">
        <v>46130.400000000001</v>
      </c>
      <c r="F130" s="91">
        <v>1380</v>
      </c>
      <c r="G130" s="39">
        <f t="shared" si="1"/>
        <v>63659952</v>
      </c>
      <c r="H130" s="16"/>
    </row>
    <row r="131" spans="1:8" s="28" customFormat="1" x14ac:dyDescent="0.45">
      <c r="A131" s="37" t="s">
        <v>111</v>
      </c>
      <c r="B131" s="38"/>
      <c r="C131" s="88" t="s">
        <v>893</v>
      </c>
      <c r="D131" s="89" t="s">
        <v>14</v>
      </c>
      <c r="E131" s="90">
        <v>0.62</v>
      </c>
      <c r="F131" s="91">
        <v>1150000</v>
      </c>
      <c r="G131" s="39">
        <f t="shared" si="1"/>
        <v>713000</v>
      </c>
      <c r="H131" s="16"/>
    </row>
    <row r="132" spans="1:8" s="28" customFormat="1" x14ac:dyDescent="0.45">
      <c r="A132" s="37" t="s">
        <v>112</v>
      </c>
      <c r="B132" s="38"/>
      <c r="C132" s="88" t="s">
        <v>705</v>
      </c>
      <c r="D132" s="89" t="s">
        <v>14</v>
      </c>
      <c r="E132" s="90">
        <v>0.98055300000000001</v>
      </c>
      <c r="F132" s="91">
        <v>1150000</v>
      </c>
      <c r="G132" s="39">
        <f t="shared" si="1"/>
        <v>1127635.95</v>
      </c>
      <c r="H132" s="16"/>
    </row>
    <row r="133" spans="1:8" s="28" customFormat="1" x14ac:dyDescent="0.45">
      <c r="A133" s="37" t="s">
        <v>113</v>
      </c>
      <c r="B133" s="38"/>
      <c r="C133" s="88" t="s">
        <v>713</v>
      </c>
      <c r="D133" s="89" t="s">
        <v>14</v>
      </c>
      <c r="E133" s="90">
        <v>9.1018000000000008</v>
      </c>
      <c r="F133" s="91">
        <v>880000</v>
      </c>
      <c r="G133" s="39">
        <f t="shared" si="1"/>
        <v>8009584.0000000009</v>
      </c>
      <c r="H133" s="16"/>
    </row>
    <row r="134" spans="1:8" s="28" customFormat="1" x14ac:dyDescent="0.45">
      <c r="A134" s="37" t="s">
        <v>114</v>
      </c>
      <c r="B134" s="38"/>
      <c r="C134" s="88" t="s">
        <v>937</v>
      </c>
      <c r="D134" s="89" t="s">
        <v>21</v>
      </c>
      <c r="E134" s="92">
        <v>204</v>
      </c>
      <c r="F134" s="91">
        <v>35000</v>
      </c>
      <c r="G134" s="39">
        <f t="shared" si="1"/>
        <v>7140000</v>
      </c>
      <c r="H134" s="16"/>
    </row>
    <row r="135" spans="1:8" s="28" customFormat="1" x14ac:dyDescent="0.45">
      <c r="A135" s="37" t="s">
        <v>115</v>
      </c>
      <c r="B135" s="38"/>
      <c r="C135" s="88" t="s">
        <v>510</v>
      </c>
      <c r="D135" s="89" t="s">
        <v>14</v>
      </c>
      <c r="E135" s="90">
        <v>5.8638000000000003</v>
      </c>
      <c r="F135" s="91">
        <v>5535714</v>
      </c>
      <c r="G135" s="39">
        <f t="shared" si="1"/>
        <v>32460319.753200002</v>
      </c>
      <c r="H135" s="16"/>
    </row>
    <row r="136" spans="1:8" s="28" customFormat="1" x14ac:dyDescent="0.45">
      <c r="A136" s="37" t="s">
        <v>116</v>
      </c>
      <c r="B136" s="38"/>
      <c r="C136" s="88" t="s">
        <v>980</v>
      </c>
      <c r="D136" s="89" t="s">
        <v>14</v>
      </c>
      <c r="E136" s="90">
        <v>1.9890000000000001</v>
      </c>
      <c r="F136" s="91">
        <v>5535714</v>
      </c>
      <c r="G136" s="39">
        <f t="shared" si="1"/>
        <v>11010535.146</v>
      </c>
      <c r="H136" s="16"/>
    </row>
    <row r="137" spans="1:8" s="28" customFormat="1" x14ac:dyDescent="0.45">
      <c r="A137" s="37" t="s">
        <v>117</v>
      </c>
      <c r="B137" s="38"/>
      <c r="C137" s="88" t="s">
        <v>912</v>
      </c>
      <c r="D137" s="89" t="s">
        <v>30</v>
      </c>
      <c r="E137" s="92">
        <v>9</v>
      </c>
      <c r="F137" s="91">
        <v>46435</v>
      </c>
      <c r="G137" s="39">
        <f t="shared" si="1"/>
        <v>417915</v>
      </c>
      <c r="H137" s="16"/>
    </row>
    <row r="138" spans="1:8" s="28" customFormat="1" x14ac:dyDescent="0.45">
      <c r="A138" s="37" t="s">
        <v>118</v>
      </c>
      <c r="B138" s="38"/>
      <c r="C138" s="88" t="s">
        <v>511</v>
      </c>
      <c r="D138" s="89" t="s">
        <v>21</v>
      </c>
      <c r="E138" s="90">
        <v>3766.4639999999999</v>
      </c>
      <c r="F138" s="91">
        <v>15179</v>
      </c>
      <c r="G138" s="39">
        <f t="shared" si="1"/>
        <v>57171157.056000002</v>
      </c>
      <c r="H138" s="16"/>
    </row>
    <row r="139" spans="1:8" s="28" customFormat="1" x14ac:dyDescent="0.45">
      <c r="A139" s="37" t="s">
        <v>119</v>
      </c>
      <c r="B139" s="38"/>
      <c r="C139" s="88" t="s">
        <v>602</v>
      </c>
      <c r="D139" s="89" t="s">
        <v>14</v>
      </c>
      <c r="E139" s="90">
        <v>0.71037799999999995</v>
      </c>
      <c r="F139" s="91">
        <v>13505500</v>
      </c>
      <c r="G139" s="39">
        <f t="shared" si="1"/>
        <v>9594010.0789999999</v>
      </c>
      <c r="H139" s="16"/>
    </row>
    <row r="140" spans="1:8" s="28" customFormat="1" x14ac:dyDescent="0.45">
      <c r="A140" s="37" t="s">
        <v>120</v>
      </c>
      <c r="B140" s="38"/>
      <c r="C140" s="88" t="s">
        <v>945</v>
      </c>
      <c r="D140" s="89" t="s">
        <v>14</v>
      </c>
      <c r="E140" s="90">
        <v>4.0189000000000004</v>
      </c>
      <c r="F140" s="91">
        <v>1150000</v>
      </c>
      <c r="G140" s="39">
        <f t="shared" ref="G140:G203" si="2">E140*F140</f>
        <v>4621735</v>
      </c>
      <c r="H140" s="16"/>
    </row>
    <row r="141" spans="1:8" s="28" customFormat="1" x14ac:dyDescent="0.45">
      <c r="A141" s="37" t="s">
        <v>121</v>
      </c>
      <c r="B141" s="38"/>
      <c r="C141" s="88" t="s">
        <v>946</v>
      </c>
      <c r="D141" s="89" t="s">
        <v>14</v>
      </c>
      <c r="E141" s="90">
        <v>0.12105200000000001</v>
      </c>
      <c r="F141" s="91">
        <v>7525000</v>
      </c>
      <c r="G141" s="39">
        <f t="shared" si="2"/>
        <v>910916.3</v>
      </c>
      <c r="H141" s="16"/>
    </row>
    <row r="142" spans="1:8" s="28" customFormat="1" x14ac:dyDescent="0.45">
      <c r="A142" s="37" t="s">
        <v>122</v>
      </c>
      <c r="B142" s="38"/>
      <c r="C142" s="88" t="s">
        <v>947</v>
      </c>
      <c r="D142" s="89" t="s">
        <v>21</v>
      </c>
      <c r="E142" s="90">
        <v>5229.4679999999998</v>
      </c>
      <c r="F142" s="91">
        <v>18250</v>
      </c>
      <c r="G142" s="39">
        <f t="shared" si="2"/>
        <v>95437791</v>
      </c>
      <c r="H142" s="16"/>
    </row>
    <row r="143" spans="1:8" s="28" customFormat="1" x14ac:dyDescent="0.45">
      <c r="A143" s="37" t="s">
        <v>123</v>
      </c>
      <c r="B143" s="38"/>
      <c r="C143" s="88" t="s">
        <v>596</v>
      </c>
      <c r="D143" s="89" t="s">
        <v>14</v>
      </c>
      <c r="E143" s="90">
        <v>4.7999999999999996E-3</v>
      </c>
      <c r="F143" s="91">
        <v>8898928</v>
      </c>
      <c r="G143" s="39">
        <f t="shared" si="2"/>
        <v>42714.854399999997</v>
      </c>
      <c r="H143" s="16"/>
    </row>
    <row r="144" spans="1:8" s="28" customFormat="1" x14ac:dyDescent="0.45">
      <c r="A144" s="37" t="s">
        <v>124</v>
      </c>
      <c r="B144" s="38"/>
      <c r="C144" s="88" t="s">
        <v>22</v>
      </c>
      <c r="D144" s="89" t="s">
        <v>14</v>
      </c>
      <c r="E144" s="90">
        <v>9.7865999999999995E-2</v>
      </c>
      <c r="F144" s="91">
        <v>10434782</v>
      </c>
      <c r="G144" s="39">
        <f t="shared" si="2"/>
        <v>1021210.375212</v>
      </c>
      <c r="H144" s="16"/>
    </row>
    <row r="145" spans="1:8" s="28" customFormat="1" x14ac:dyDescent="0.45">
      <c r="A145" s="37" t="s">
        <v>125</v>
      </c>
      <c r="B145" s="38"/>
      <c r="C145" s="88" t="s">
        <v>541</v>
      </c>
      <c r="D145" s="89" t="s">
        <v>14</v>
      </c>
      <c r="E145" s="90">
        <v>0.26912599999999998</v>
      </c>
      <c r="F145" s="91">
        <v>8898928</v>
      </c>
      <c r="G145" s="39">
        <f t="shared" si="2"/>
        <v>2394932.8969279998</v>
      </c>
      <c r="H145" s="16"/>
    </row>
    <row r="146" spans="1:8" s="28" customFormat="1" x14ac:dyDescent="0.45">
      <c r="A146" s="37" t="s">
        <v>126</v>
      </c>
      <c r="B146" s="38"/>
      <c r="C146" s="88" t="s">
        <v>902</v>
      </c>
      <c r="D146" s="89" t="s">
        <v>14</v>
      </c>
      <c r="E146" s="90">
        <v>3.5999999999999999E-3</v>
      </c>
      <c r="F146" s="91">
        <v>8898928</v>
      </c>
      <c r="G146" s="39">
        <f t="shared" si="2"/>
        <v>32036.140799999997</v>
      </c>
      <c r="H146" s="16"/>
    </row>
    <row r="147" spans="1:8" s="28" customFormat="1" x14ac:dyDescent="0.45">
      <c r="A147" s="37" t="s">
        <v>127</v>
      </c>
      <c r="B147" s="38"/>
      <c r="C147" s="88" t="s">
        <v>667</v>
      </c>
      <c r="D147" s="89" t="s">
        <v>21</v>
      </c>
      <c r="E147" s="90">
        <v>708.6825</v>
      </c>
      <c r="F147" s="91">
        <v>9300</v>
      </c>
      <c r="G147" s="39">
        <f t="shared" si="2"/>
        <v>6590747.25</v>
      </c>
      <c r="H147" s="16"/>
    </row>
    <row r="148" spans="1:8" s="28" customFormat="1" x14ac:dyDescent="0.45">
      <c r="A148" s="37" t="s">
        <v>128</v>
      </c>
      <c r="B148" s="38"/>
      <c r="C148" s="88" t="s">
        <v>913</v>
      </c>
      <c r="D148" s="89" t="s">
        <v>31</v>
      </c>
      <c r="E148" s="92">
        <v>36</v>
      </c>
      <c r="F148" s="91">
        <v>5326</v>
      </c>
      <c r="G148" s="39">
        <f t="shared" si="2"/>
        <v>191736</v>
      </c>
      <c r="H148" s="16"/>
    </row>
    <row r="149" spans="1:8" s="28" customFormat="1" x14ac:dyDescent="0.45">
      <c r="A149" s="37" t="s">
        <v>129</v>
      </c>
      <c r="B149" s="38"/>
      <c r="C149" s="88" t="s">
        <v>914</v>
      </c>
      <c r="D149" s="89" t="s">
        <v>31</v>
      </c>
      <c r="E149" s="92">
        <v>300</v>
      </c>
      <c r="F149" s="91">
        <v>1200</v>
      </c>
      <c r="G149" s="39">
        <f t="shared" si="2"/>
        <v>360000</v>
      </c>
      <c r="H149" s="16"/>
    </row>
    <row r="150" spans="1:8" s="28" customFormat="1" ht="23.25" x14ac:dyDescent="0.45">
      <c r="A150" s="37" t="s">
        <v>130</v>
      </c>
      <c r="B150" s="38"/>
      <c r="C150" s="88" t="s">
        <v>619</v>
      </c>
      <c r="D150" s="89" t="s">
        <v>14</v>
      </c>
      <c r="E150" s="90">
        <v>7.7450000000000005E-2</v>
      </c>
      <c r="F150" s="91">
        <v>8750000</v>
      </c>
      <c r="G150" s="39">
        <f t="shared" si="2"/>
        <v>677687.5</v>
      </c>
      <c r="H150" s="16"/>
    </row>
    <row r="151" spans="1:8" s="28" customFormat="1" x14ac:dyDescent="0.45">
      <c r="A151" s="37" t="s">
        <v>131</v>
      </c>
      <c r="B151" s="38"/>
      <c r="C151" s="88" t="s">
        <v>470</v>
      </c>
      <c r="D151" s="89" t="s">
        <v>14</v>
      </c>
      <c r="E151" s="90">
        <v>1.358E-3</v>
      </c>
      <c r="F151" s="91">
        <v>13616071</v>
      </c>
      <c r="G151" s="39">
        <f t="shared" si="2"/>
        <v>18490.624417999999</v>
      </c>
      <c r="H151" s="16"/>
    </row>
    <row r="152" spans="1:8" s="28" customFormat="1" x14ac:dyDescent="0.45">
      <c r="A152" s="37" t="s">
        <v>132</v>
      </c>
      <c r="B152" s="38"/>
      <c r="C152" s="88" t="s">
        <v>77</v>
      </c>
      <c r="D152" s="89" t="s">
        <v>23</v>
      </c>
      <c r="E152" s="90">
        <v>46.9133</v>
      </c>
      <c r="F152" s="91">
        <v>4406</v>
      </c>
      <c r="G152" s="39">
        <f t="shared" si="2"/>
        <v>206699.99979999999</v>
      </c>
      <c r="H152" s="16"/>
    </row>
    <row r="153" spans="1:8" s="28" customFormat="1" x14ac:dyDescent="0.45">
      <c r="A153" s="37" t="s">
        <v>133</v>
      </c>
      <c r="B153" s="38"/>
      <c r="C153" s="88" t="s">
        <v>110</v>
      </c>
      <c r="D153" s="89" t="s">
        <v>76</v>
      </c>
      <c r="E153" s="90">
        <v>238.68</v>
      </c>
      <c r="F153" s="91">
        <v>2600</v>
      </c>
      <c r="G153" s="39">
        <f t="shared" si="2"/>
        <v>620568</v>
      </c>
      <c r="H153" s="16"/>
    </row>
    <row r="154" spans="1:8" s="28" customFormat="1" x14ac:dyDescent="0.45">
      <c r="A154" s="37" t="s">
        <v>134</v>
      </c>
      <c r="B154" s="38"/>
      <c r="C154" s="88" t="s">
        <v>668</v>
      </c>
      <c r="D154" s="89" t="s">
        <v>14</v>
      </c>
      <c r="E154" s="90">
        <v>4.24</v>
      </c>
      <c r="F154" s="91">
        <v>510000</v>
      </c>
      <c r="G154" s="39">
        <f t="shared" si="2"/>
        <v>2162400</v>
      </c>
      <c r="H154" s="16"/>
    </row>
    <row r="155" spans="1:8" s="28" customFormat="1" x14ac:dyDescent="0.45">
      <c r="A155" s="37" t="s">
        <v>135</v>
      </c>
      <c r="B155" s="38"/>
      <c r="C155" s="88" t="s">
        <v>108</v>
      </c>
      <c r="D155" s="89" t="s">
        <v>14</v>
      </c>
      <c r="E155" s="90">
        <v>0.141148</v>
      </c>
      <c r="F155" s="91">
        <v>10803572</v>
      </c>
      <c r="G155" s="39">
        <f t="shared" si="2"/>
        <v>1524902.5806559999</v>
      </c>
      <c r="H155" s="16"/>
    </row>
    <row r="156" spans="1:8" s="28" customFormat="1" x14ac:dyDescent="0.45">
      <c r="A156" s="37" t="s">
        <v>136</v>
      </c>
      <c r="B156" s="38"/>
      <c r="C156" s="88" t="s">
        <v>606</v>
      </c>
      <c r="D156" s="89" t="s">
        <v>14</v>
      </c>
      <c r="E156" s="90">
        <v>0.17328399999999999</v>
      </c>
      <c r="F156" s="91">
        <v>10803572</v>
      </c>
      <c r="G156" s="39">
        <f t="shared" si="2"/>
        <v>1872086.1704479998</v>
      </c>
      <c r="H156" s="16"/>
    </row>
    <row r="157" spans="1:8" s="28" customFormat="1" x14ac:dyDescent="0.45">
      <c r="A157" s="37" t="s">
        <v>138</v>
      </c>
      <c r="B157" s="38"/>
      <c r="C157" s="88" t="s">
        <v>567</v>
      </c>
      <c r="D157" s="89" t="s">
        <v>14</v>
      </c>
      <c r="E157" s="90">
        <v>0.107208</v>
      </c>
      <c r="F157" s="91">
        <v>10803572</v>
      </c>
      <c r="G157" s="39">
        <f t="shared" si="2"/>
        <v>1158229.3469759999</v>
      </c>
      <c r="H157" s="16"/>
    </row>
    <row r="158" spans="1:8" s="28" customFormat="1" x14ac:dyDescent="0.45">
      <c r="A158" s="37" t="s">
        <v>143</v>
      </c>
      <c r="B158" s="38"/>
      <c r="C158" s="88" t="s">
        <v>930</v>
      </c>
      <c r="D158" s="89" t="s">
        <v>23</v>
      </c>
      <c r="E158" s="90">
        <v>1.6466000000000001</v>
      </c>
      <c r="F158" s="91">
        <v>3373913</v>
      </c>
      <c r="G158" s="39">
        <f t="shared" si="2"/>
        <v>5555485.1458000001</v>
      </c>
      <c r="H158" s="16"/>
    </row>
    <row r="159" spans="1:8" s="28" customFormat="1" x14ac:dyDescent="0.45">
      <c r="A159" s="37" t="s">
        <v>144</v>
      </c>
      <c r="B159" s="38"/>
      <c r="C159" s="88" t="s">
        <v>542</v>
      </c>
      <c r="D159" s="89" t="s">
        <v>543</v>
      </c>
      <c r="E159" s="90">
        <v>74.556200000000004</v>
      </c>
      <c r="F159" s="91">
        <v>65000</v>
      </c>
      <c r="G159" s="39">
        <f t="shared" si="2"/>
        <v>4846153</v>
      </c>
      <c r="H159" s="16"/>
    </row>
    <row r="160" spans="1:8" s="28" customFormat="1" x14ac:dyDescent="0.45">
      <c r="A160" s="37" t="s">
        <v>145</v>
      </c>
      <c r="B160" s="38"/>
      <c r="C160" s="88" t="s">
        <v>948</v>
      </c>
      <c r="D160" s="89" t="s">
        <v>587</v>
      </c>
      <c r="E160" s="90">
        <v>43.578899999999997</v>
      </c>
      <c r="F160" s="91">
        <v>35000</v>
      </c>
      <c r="G160" s="39">
        <f t="shared" si="2"/>
        <v>1525261.5</v>
      </c>
      <c r="H160" s="16"/>
    </row>
    <row r="161" spans="1:8" s="28" customFormat="1" x14ac:dyDescent="0.45">
      <c r="A161" s="37" t="s">
        <v>146</v>
      </c>
      <c r="B161" s="38"/>
      <c r="C161" s="88" t="s">
        <v>691</v>
      </c>
      <c r="D161" s="89" t="s">
        <v>21</v>
      </c>
      <c r="E161" s="90">
        <v>160.13679999999999</v>
      </c>
      <c r="F161" s="91">
        <v>35000</v>
      </c>
      <c r="G161" s="39">
        <f t="shared" si="2"/>
        <v>5604788</v>
      </c>
      <c r="H161" s="16"/>
    </row>
    <row r="162" spans="1:8" s="28" customFormat="1" ht="23.25" x14ac:dyDescent="0.45">
      <c r="A162" s="37" t="s">
        <v>147</v>
      </c>
      <c r="B162" s="38"/>
      <c r="C162" s="88" t="s">
        <v>315</v>
      </c>
      <c r="D162" s="89" t="s">
        <v>23</v>
      </c>
      <c r="E162" s="90">
        <v>2.4278000000000001E-2</v>
      </c>
      <c r="F162" s="91">
        <v>3373913</v>
      </c>
      <c r="G162" s="39">
        <f t="shared" si="2"/>
        <v>81911.85981400001</v>
      </c>
      <c r="H162" s="16"/>
    </row>
    <row r="163" spans="1:8" s="28" customFormat="1" x14ac:dyDescent="0.45">
      <c r="A163" s="37" t="s">
        <v>148</v>
      </c>
      <c r="B163" s="38"/>
      <c r="C163" s="88" t="s">
        <v>648</v>
      </c>
      <c r="D163" s="89" t="s">
        <v>23</v>
      </c>
      <c r="E163" s="90">
        <v>0.81599999999999995</v>
      </c>
      <c r="F163" s="91">
        <v>3901786</v>
      </c>
      <c r="G163" s="39">
        <f t="shared" si="2"/>
        <v>3183857.3759999997</v>
      </c>
      <c r="H163" s="16"/>
    </row>
    <row r="164" spans="1:8" s="28" customFormat="1" x14ac:dyDescent="0.45">
      <c r="A164" s="37" t="s">
        <v>149</v>
      </c>
      <c r="B164" s="38"/>
      <c r="C164" s="88" t="s">
        <v>603</v>
      </c>
      <c r="D164" s="89" t="s">
        <v>23</v>
      </c>
      <c r="E164" s="90">
        <v>1.6335999999999999</v>
      </c>
      <c r="F164" s="91">
        <v>3901786</v>
      </c>
      <c r="G164" s="39">
        <f t="shared" si="2"/>
        <v>6373957.6096000001</v>
      </c>
      <c r="H164" s="16"/>
    </row>
    <row r="165" spans="1:8" s="28" customFormat="1" x14ac:dyDescent="0.45">
      <c r="A165" s="37" t="s">
        <v>150</v>
      </c>
      <c r="B165" s="38"/>
      <c r="C165" s="88" t="s">
        <v>588</v>
      </c>
      <c r="D165" s="89" t="s">
        <v>23</v>
      </c>
      <c r="E165" s="90">
        <v>0.115926</v>
      </c>
      <c r="F165" s="91">
        <v>3901786</v>
      </c>
      <c r="G165" s="39">
        <f t="shared" si="2"/>
        <v>452318.44383599999</v>
      </c>
      <c r="H165" s="16"/>
    </row>
    <row r="166" spans="1:8" s="28" customFormat="1" x14ac:dyDescent="0.45">
      <c r="A166" s="37" t="s">
        <v>151</v>
      </c>
      <c r="B166" s="38"/>
      <c r="C166" s="88" t="s">
        <v>642</v>
      </c>
      <c r="D166" s="89" t="s">
        <v>23</v>
      </c>
      <c r="E166" s="90">
        <v>6.9946000000000002</v>
      </c>
      <c r="F166" s="91">
        <v>3901786</v>
      </c>
      <c r="G166" s="39">
        <f t="shared" si="2"/>
        <v>27291432.355599999</v>
      </c>
      <c r="H166" s="16"/>
    </row>
    <row r="167" spans="1:8" s="28" customFormat="1" ht="23.25" x14ac:dyDescent="0.45">
      <c r="A167" s="37" t="s">
        <v>152</v>
      </c>
      <c r="B167" s="38"/>
      <c r="C167" s="88" t="s">
        <v>620</v>
      </c>
      <c r="D167" s="89" t="s">
        <v>23</v>
      </c>
      <c r="E167" s="90">
        <v>1.0316000000000001</v>
      </c>
      <c r="F167" s="91">
        <v>3901786</v>
      </c>
      <c r="G167" s="39">
        <f t="shared" si="2"/>
        <v>4025082.4376000003</v>
      </c>
      <c r="H167" s="16"/>
    </row>
    <row r="168" spans="1:8" s="28" customFormat="1" ht="23.25" x14ac:dyDescent="0.45">
      <c r="A168" s="37" t="s">
        <v>153</v>
      </c>
      <c r="B168" s="38"/>
      <c r="C168" s="88" t="s">
        <v>562</v>
      </c>
      <c r="D168" s="89" t="s">
        <v>23</v>
      </c>
      <c r="E168" s="90">
        <v>1.5345</v>
      </c>
      <c r="F168" s="91">
        <v>3901786</v>
      </c>
      <c r="G168" s="39">
        <f t="shared" si="2"/>
        <v>5987290.6169999996</v>
      </c>
      <c r="H168" s="16"/>
    </row>
    <row r="169" spans="1:8" s="28" customFormat="1" x14ac:dyDescent="0.45">
      <c r="A169" s="37" t="s">
        <v>154</v>
      </c>
      <c r="B169" s="38"/>
      <c r="C169" s="88" t="s">
        <v>604</v>
      </c>
      <c r="D169" s="89" t="s">
        <v>23</v>
      </c>
      <c r="E169" s="90">
        <v>0.26262799999999997</v>
      </c>
      <c r="F169" s="91">
        <v>3901786</v>
      </c>
      <c r="G169" s="39">
        <f t="shared" si="2"/>
        <v>1024718.2536079999</v>
      </c>
      <c r="H169" s="16"/>
    </row>
    <row r="170" spans="1:8" s="28" customFormat="1" ht="23.25" x14ac:dyDescent="0.45">
      <c r="A170" s="37" t="s">
        <v>155</v>
      </c>
      <c r="B170" s="38"/>
      <c r="C170" s="88" t="s">
        <v>557</v>
      </c>
      <c r="D170" s="89" t="s">
        <v>23</v>
      </c>
      <c r="E170" s="90">
        <v>8.4077999999999999</v>
      </c>
      <c r="F170" s="91">
        <v>3901786</v>
      </c>
      <c r="G170" s="39">
        <f t="shared" si="2"/>
        <v>32805436.330800001</v>
      </c>
      <c r="H170" s="16"/>
    </row>
    <row r="171" spans="1:8" s="28" customFormat="1" ht="23.25" x14ac:dyDescent="0.45">
      <c r="A171" s="37" t="s">
        <v>156</v>
      </c>
      <c r="B171" s="38"/>
      <c r="C171" s="88" t="s">
        <v>649</v>
      </c>
      <c r="D171" s="89" t="s">
        <v>23</v>
      </c>
      <c r="E171" s="90">
        <v>4.2329999999999997</v>
      </c>
      <c r="F171" s="91">
        <v>3901786</v>
      </c>
      <c r="G171" s="39">
        <f t="shared" si="2"/>
        <v>16516260.137999998</v>
      </c>
      <c r="H171" s="16"/>
    </row>
    <row r="172" spans="1:8" s="28" customFormat="1" x14ac:dyDescent="0.45">
      <c r="A172" s="37" t="s">
        <v>157</v>
      </c>
      <c r="B172" s="38"/>
      <c r="C172" s="88" t="s">
        <v>643</v>
      </c>
      <c r="D172" s="89" t="s">
        <v>23</v>
      </c>
      <c r="E172" s="90">
        <v>0.86304000000000003</v>
      </c>
      <c r="F172" s="91">
        <v>3901786</v>
      </c>
      <c r="G172" s="39">
        <f t="shared" si="2"/>
        <v>3367397.3894400001</v>
      </c>
      <c r="H172" s="16"/>
    </row>
    <row r="173" spans="1:8" s="28" customFormat="1" x14ac:dyDescent="0.45">
      <c r="A173" s="37" t="s">
        <v>158</v>
      </c>
      <c r="B173" s="38"/>
      <c r="C173" s="88" t="s">
        <v>549</v>
      </c>
      <c r="D173" s="89" t="s">
        <v>23</v>
      </c>
      <c r="E173" s="90">
        <v>4.2172999999999998</v>
      </c>
      <c r="F173" s="91">
        <v>3901786</v>
      </c>
      <c r="G173" s="39">
        <f t="shared" si="2"/>
        <v>16455002.0978</v>
      </c>
      <c r="H173" s="16"/>
    </row>
    <row r="174" spans="1:8" s="28" customFormat="1" x14ac:dyDescent="0.45">
      <c r="A174" s="37" t="s">
        <v>159</v>
      </c>
      <c r="B174" s="38"/>
      <c r="C174" s="88" t="s">
        <v>644</v>
      </c>
      <c r="D174" s="89" t="s">
        <v>23</v>
      </c>
      <c r="E174" s="90">
        <v>7.1919999999999998E-2</v>
      </c>
      <c r="F174" s="91">
        <v>3901786</v>
      </c>
      <c r="G174" s="39">
        <f t="shared" si="2"/>
        <v>280616.44912</v>
      </c>
      <c r="H174" s="16"/>
    </row>
    <row r="175" spans="1:8" s="28" customFormat="1" x14ac:dyDescent="0.45">
      <c r="A175" s="37" t="s">
        <v>160</v>
      </c>
      <c r="B175" s="38"/>
      <c r="C175" s="88" t="s">
        <v>544</v>
      </c>
      <c r="D175" s="89" t="s">
        <v>23</v>
      </c>
      <c r="E175" s="90">
        <v>9.1480000000000006E-2</v>
      </c>
      <c r="F175" s="91">
        <v>3901786</v>
      </c>
      <c r="G175" s="39">
        <f t="shared" si="2"/>
        <v>356935.38328000001</v>
      </c>
      <c r="H175" s="16"/>
    </row>
    <row r="176" spans="1:8" s="28" customFormat="1" ht="23.25" x14ac:dyDescent="0.45">
      <c r="A176" s="37" t="s">
        <v>161</v>
      </c>
      <c r="B176" s="38"/>
      <c r="C176" s="88" t="s">
        <v>903</v>
      </c>
      <c r="D176" s="89" t="s">
        <v>23</v>
      </c>
      <c r="E176" s="90">
        <v>5.1599999999999997E-3</v>
      </c>
      <c r="F176" s="91">
        <v>3901786</v>
      </c>
      <c r="G176" s="39">
        <f t="shared" si="2"/>
        <v>20133.215759999999</v>
      </c>
      <c r="H176" s="16"/>
    </row>
    <row r="177" spans="1:8" s="28" customFormat="1" x14ac:dyDescent="0.45">
      <c r="A177" s="37" t="s">
        <v>162</v>
      </c>
      <c r="B177" s="38"/>
      <c r="C177" s="88" t="s">
        <v>931</v>
      </c>
      <c r="D177" s="89" t="s">
        <v>14</v>
      </c>
      <c r="E177" s="90">
        <v>1.1245E-2</v>
      </c>
      <c r="F177" s="91">
        <v>12000000</v>
      </c>
      <c r="G177" s="39">
        <f t="shared" si="2"/>
        <v>134940</v>
      </c>
      <c r="H177" s="16"/>
    </row>
    <row r="178" spans="1:8" s="28" customFormat="1" x14ac:dyDescent="0.45">
      <c r="A178" s="37" t="s">
        <v>163</v>
      </c>
      <c r="B178" s="38"/>
      <c r="C178" s="88" t="s">
        <v>630</v>
      </c>
      <c r="D178" s="89" t="s">
        <v>23</v>
      </c>
      <c r="E178" s="90">
        <v>7.1642000000000001</v>
      </c>
      <c r="F178" s="91">
        <v>58036</v>
      </c>
      <c r="G178" s="39">
        <f t="shared" si="2"/>
        <v>415781.51120000001</v>
      </c>
      <c r="H178" s="16"/>
    </row>
    <row r="179" spans="1:8" s="28" customFormat="1" x14ac:dyDescent="0.45">
      <c r="A179" s="37" t="s">
        <v>164</v>
      </c>
      <c r="B179" s="38"/>
      <c r="C179" s="88" t="s">
        <v>658</v>
      </c>
      <c r="D179" s="89" t="s">
        <v>31</v>
      </c>
      <c r="E179" s="92">
        <v>44</v>
      </c>
      <c r="F179" s="91">
        <v>25000</v>
      </c>
      <c r="G179" s="39">
        <f t="shared" si="2"/>
        <v>1100000</v>
      </c>
      <c r="H179" s="16"/>
    </row>
    <row r="180" spans="1:8" s="28" customFormat="1" x14ac:dyDescent="0.45">
      <c r="A180" s="37" t="s">
        <v>165</v>
      </c>
      <c r="B180" s="38"/>
      <c r="C180" s="88" t="s">
        <v>624</v>
      </c>
      <c r="D180" s="89" t="s">
        <v>76</v>
      </c>
      <c r="E180" s="90">
        <v>0.87</v>
      </c>
      <c r="F180" s="91">
        <v>8885</v>
      </c>
      <c r="G180" s="39">
        <f t="shared" si="2"/>
        <v>7729.95</v>
      </c>
      <c r="H180" s="16"/>
    </row>
    <row r="181" spans="1:8" s="28" customFormat="1" x14ac:dyDescent="0.45">
      <c r="A181" s="37" t="s">
        <v>166</v>
      </c>
      <c r="B181" s="38"/>
      <c r="C181" s="88" t="s">
        <v>932</v>
      </c>
      <c r="D181" s="89" t="s">
        <v>21</v>
      </c>
      <c r="E181" s="90">
        <v>421.68</v>
      </c>
      <c r="F181" s="91">
        <v>24000</v>
      </c>
      <c r="G181" s="39">
        <f t="shared" si="2"/>
        <v>10120320</v>
      </c>
      <c r="H181" s="16"/>
    </row>
    <row r="182" spans="1:8" s="28" customFormat="1" x14ac:dyDescent="0.45">
      <c r="A182" s="37" t="s">
        <v>109</v>
      </c>
      <c r="B182" s="38"/>
      <c r="C182" s="88" t="s">
        <v>590</v>
      </c>
      <c r="D182" s="89" t="s">
        <v>14</v>
      </c>
      <c r="E182" s="90">
        <v>0.37918000000000002</v>
      </c>
      <c r="F182" s="91">
        <v>7230917</v>
      </c>
      <c r="G182" s="39">
        <f t="shared" si="2"/>
        <v>2741819.10806</v>
      </c>
      <c r="H182" s="16"/>
    </row>
    <row r="183" spans="1:8" s="28" customFormat="1" x14ac:dyDescent="0.45">
      <c r="A183" s="37" t="s">
        <v>167</v>
      </c>
      <c r="B183" s="38"/>
      <c r="C183" s="88" t="s">
        <v>750</v>
      </c>
      <c r="D183" s="89" t="s">
        <v>21</v>
      </c>
      <c r="E183" s="90">
        <v>5932.4719999999998</v>
      </c>
      <c r="F183" s="91">
        <v>4500</v>
      </c>
      <c r="G183" s="39">
        <f t="shared" si="2"/>
        <v>26696124</v>
      </c>
      <c r="H183" s="16"/>
    </row>
    <row r="184" spans="1:8" s="28" customFormat="1" x14ac:dyDescent="0.45">
      <c r="A184" s="37" t="s">
        <v>168</v>
      </c>
      <c r="B184" s="38"/>
      <c r="C184" s="88" t="s">
        <v>714</v>
      </c>
      <c r="D184" s="89" t="s">
        <v>21</v>
      </c>
      <c r="E184" s="90">
        <v>2254.8000000000002</v>
      </c>
      <c r="F184" s="91">
        <v>37500</v>
      </c>
      <c r="G184" s="39">
        <f t="shared" si="2"/>
        <v>84555000</v>
      </c>
      <c r="H184" s="16"/>
    </row>
    <row r="185" spans="1:8" s="28" customFormat="1" x14ac:dyDescent="0.45">
      <c r="A185" s="37" t="s">
        <v>169</v>
      </c>
      <c r="B185" s="38"/>
      <c r="C185" s="88" t="s">
        <v>915</v>
      </c>
      <c r="D185" s="89" t="s">
        <v>30</v>
      </c>
      <c r="E185" s="92">
        <v>15</v>
      </c>
      <c r="F185" s="91">
        <v>9000</v>
      </c>
      <c r="G185" s="39">
        <f t="shared" si="2"/>
        <v>135000</v>
      </c>
      <c r="H185" s="16"/>
    </row>
    <row r="186" spans="1:8" s="28" customFormat="1" x14ac:dyDescent="0.45">
      <c r="A186" s="37" t="s">
        <v>170</v>
      </c>
      <c r="B186" s="38"/>
      <c r="C186" s="88" t="s">
        <v>238</v>
      </c>
      <c r="D186" s="89" t="s">
        <v>30</v>
      </c>
      <c r="E186" s="90">
        <v>4.7640000000000002E-2</v>
      </c>
      <c r="F186" s="91">
        <v>6000</v>
      </c>
      <c r="G186" s="39">
        <f t="shared" si="2"/>
        <v>285.84000000000003</v>
      </c>
      <c r="H186" s="16"/>
    </row>
    <row r="187" spans="1:8" s="31" customFormat="1" x14ac:dyDescent="0.45">
      <c r="A187" s="37" t="s">
        <v>171</v>
      </c>
      <c r="B187" s="38"/>
      <c r="C187" s="88" t="s">
        <v>715</v>
      </c>
      <c r="D187" s="89" t="s">
        <v>14</v>
      </c>
      <c r="E187" s="90">
        <v>1.1274</v>
      </c>
      <c r="F187" s="91">
        <v>5720000</v>
      </c>
      <c r="G187" s="39">
        <f t="shared" si="2"/>
        <v>6448728</v>
      </c>
      <c r="H187" s="16"/>
    </row>
    <row r="188" spans="1:8" s="31" customFormat="1" x14ac:dyDescent="0.45">
      <c r="A188" s="37" t="s">
        <v>172</v>
      </c>
      <c r="B188" s="38"/>
      <c r="C188" s="88" t="s">
        <v>715</v>
      </c>
      <c r="D188" s="89" t="s">
        <v>14</v>
      </c>
      <c r="E188" s="90">
        <v>3.006E-2</v>
      </c>
      <c r="F188" s="91">
        <v>5720000</v>
      </c>
      <c r="G188" s="39">
        <f t="shared" si="2"/>
        <v>171943.2</v>
      </c>
      <c r="H188" s="16"/>
    </row>
    <row r="189" spans="1:8" s="31" customFormat="1" x14ac:dyDescent="0.45">
      <c r="A189" s="37" t="s">
        <v>173</v>
      </c>
      <c r="B189" s="38"/>
      <c r="C189" s="88" t="s">
        <v>614</v>
      </c>
      <c r="D189" s="89" t="s">
        <v>23</v>
      </c>
      <c r="E189" s="90">
        <v>30.72</v>
      </c>
      <c r="F189" s="91">
        <v>24135</v>
      </c>
      <c r="G189" s="39">
        <f t="shared" si="2"/>
        <v>741427.19999999995</v>
      </c>
      <c r="H189" s="16"/>
    </row>
    <row r="190" spans="1:8" s="31" customFormat="1" x14ac:dyDescent="0.45">
      <c r="A190" s="37" t="s">
        <v>174</v>
      </c>
      <c r="B190" s="38"/>
      <c r="C190" s="88" t="s">
        <v>110</v>
      </c>
      <c r="D190" s="89" t="s">
        <v>76</v>
      </c>
      <c r="E190" s="90">
        <v>14.1912</v>
      </c>
      <c r="F190" s="91">
        <v>2600</v>
      </c>
      <c r="G190" s="39">
        <f t="shared" si="2"/>
        <v>36897.120000000003</v>
      </c>
      <c r="H190" s="16"/>
    </row>
    <row r="191" spans="1:8" s="31" customFormat="1" x14ac:dyDescent="0.45">
      <c r="A191" s="37" t="s">
        <v>175</v>
      </c>
      <c r="B191" s="38"/>
      <c r="C191" s="88" t="s">
        <v>645</v>
      </c>
      <c r="D191" s="89" t="s">
        <v>14</v>
      </c>
      <c r="E191" s="90">
        <v>3.1643999999999999E-2</v>
      </c>
      <c r="F191" s="91">
        <v>3300000</v>
      </c>
      <c r="G191" s="39">
        <f t="shared" si="2"/>
        <v>104425.2</v>
      </c>
      <c r="H191" s="16"/>
    </row>
    <row r="192" spans="1:8" s="31" customFormat="1" x14ac:dyDescent="0.45">
      <c r="A192" s="37" t="s">
        <v>176</v>
      </c>
      <c r="B192" s="38"/>
      <c r="C192" s="88" t="s">
        <v>545</v>
      </c>
      <c r="D192" s="89" t="s">
        <v>21</v>
      </c>
      <c r="E192" s="90">
        <v>220.4751</v>
      </c>
      <c r="F192" s="91">
        <v>55000</v>
      </c>
      <c r="G192" s="39">
        <f t="shared" si="2"/>
        <v>12126130.5</v>
      </c>
      <c r="H192" s="16"/>
    </row>
    <row r="193" spans="1:8" s="31" customFormat="1" x14ac:dyDescent="0.45">
      <c r="A193" s="37" t="s">
        <v>177</v>
      </c>
      <c r="B193" s="38"/>
      <c r="C193" s="88" t="s">
        <v>933</v>
      </c>
      <c r="D193" s="89" t="s">
        <v>14</v>
      </c>
      <c r="E193" s="90">
        <v>8.4340000000000005E-3</v>
      </c>
      <c r="F193" s="91">
        <v>9652145</v>
      </c>
      <c r="G193" s="39">
        <f t="shared" si="2"/>
        <v>81406.190930000012</v>
      </c>
      <c r="H193" s="16"/>
    </row>
    <row r="194" spans="1:8" s="31" customFormat="1" x14ac:dyDescent="0.45">
      <c r="A194" s="37" t="s">
        <v>178</v>
      </c>
      <c r="B194" s="38"/>
      <c r="C194" s="88" t="s">
        <v>916</v>
      </c>
      <c r="D194" s="89" t="s">
        <v>31</v>
      </c>
      <c r="E194" s="92">
        <v>90</v>
      </c>
      <c r="F194" s="91">
        <v>7630</v>
      </c>
      <c r="G194" s="39">
        <f t="shared" si="2"/>
        <v>686700</v>
      </c>
      <c r="H194" s="16"/>
    </row>
    <row r="195" spans="1:8" s="31" customFormat="1" x14ac:dyDescent="0.45">
      <c r="A195" s="37" t="s">
        <v>179</v>
      </c>
      <c r="B195" s="38"/>
      <c r="C195" s="88" t="s">
        <v>690</v>
      </c>
      <c r="D195" s="89" t="s">
        <v>21</v>
      </c>
      <c r="E195" s="90">
        <v>45.920400000000001</v>
      </c>
      <c r="F195" s="91">
        <v>49821</v>
      </c>
      <c r="G195" s="39">
        <f t="shared" si="2"/>
        <v>2287800.2483999999</v>
      </c>
      <c r="H195" s="16"/>
    </row>
    <row r="196" spans="1:8" s="31" customFormat="1" x14ac:dyDescent="0.45">
      <c r="A196" s="37" t="s">
        <v>180</v>
      </c>
      <c r="B196" s="38"/>
      <c r="C196" s="88" t="s">
        <v>597</v>
      </c>
      <c r="D196" s="89" t="s">
        <v>21</v>
      </c>
      <c r="E196" s="90">
        <v>36.72</v>
      </c>
      <c r="F196" s="91">
        <v>59196</v>
      </c>
      <c r="G196" s="39">
        <f t="shared" si="2"/>
        <v>2173677.12</v>
      </c>
      <c r="H196" s="16"/>
    </row>
    <row r="197" spans="1:8" s="31" customFormat="1" x14ac:dyDescent="0.45">
      <c r="A197" s="37" t="s">
        <v>181</v>
      </c>
      <c r="B197" s="38"/>
      <c r="C197" s="88" t="s">
        <v>917</v>
      </c>
      <c r="D197" s="89" t="s">
        <v>30</v>
      </c>
      <c r="E197" s="92">
        <v>120</v>
      </c>
      <c r="F197" s="91">
        <v>5000</v>
      </c>
      <c r="G197" s="39">
        <f t="shared" si="2"/>
        <v>600000</v>
      </c>
      <c r="H197" s="16"/>
    </row>
    <row r="198" spans="1:8" s="31" customFormat="1" x14ac:dyDescent="0.45">
      <c r="A198" s="37" t="s">
        <v>182</v>
      </c>
      <c r="B198" s="38"/>
      <c r="C198" s="88" t="s">
        <v>662</v>
      </c>
      <c r="D198" s="89" t="s">
        <v>31</v>
      </c>
      <c r="E198" s="90">
        <v>180.8</v>
      </c>
      <c r="F198" s="91">
        <v>26000</v>
      </c>
      <c r="G198" s="39">
        <f t="shared" si="2"/>
        <v>4700800</v>
      </c>
      <c r="H198" s="16"/>
    </row>
    <row r="199" spans="1:8" s="31" customFormat="1" x14ac:dyDescent="0.45">
      <c r="A199" s="37" t="s">
        <v>183</v>
      </c>
      <c r="B199" s="38"/>
      <c r="C199" s="88" t="s">
        <v>949</v>
      </c>
      <c r="D199" s="89" t="s">
        <v>31</v>
      </c>
      <c r="E199" s="90">
        <v>24694.71</v>
      </c>
      <c r="F199" s="91">
        <v>6339</v>
      </c>
      <c r="G199" s="39">
        <f t="shared" si="2"/>
        <v>156539766.69</v>
      </c>
      <c r="H199" s="16"/>
    </row>
    <row r="200" spans="1:8" s="31" customFormat="1" x14ac:dyDescent="0.45">
      <c r="A200" s="37" t="s">
        <v>184</v>
      </c>
      <c r="B200" s="38"/>
      <c r="C200" s="88" t="s">
        <v>950</v>
      </c>
      <c r="D200" s="89" t="s">
        <v>30</v>
      </c>
      <c r="E200" s="90">
        <v>14526.3</v>
      </c>
      <c r="F200" s="91">
        <v>3300</v>
      </c>
      <c r="G200" s="39">
        <f t="shared" si="2"/>
        <v>47936790</v>
      </c>
      <c r="H200" s="16"/>
    </row>
    <row r="201" spans="1:8" s="31" customFormat="1" x14ac:dyDescent="0.45">
      <c r="A201" s="37" t="s">
        <v>185</v>
      </c>
      <c r="B201" s="38"/>
      <c r="C201" s="88" t="s">
        <v>951</v>
      </c>
      <c r="D201" s="89" t="s">
        <v>30</v>
      </c>
      <c r="E201" s="90">
        <v>5810.52</v>
      </c>
      <c r="F201" s="91">
        <v>3300</v>
      </c>
      <c r="G201" s="39">
        <f t="shared" si="2"/>
        <v>19174716</v>
      </c>
      <c r="H201" s="16"/>
    </row>
    <row r="202" spans="1:8" s="31" customFormat="1" x14ac:dyDescent="0.45">
      <c r="A202" s="37" t="s">
        <v>186</v>
      </c>
      <c r="B202" s="38"/>
      <c r="C202" s="88" t="s">
        <v>952</v>
      </c>
      <c r="D202" s="89" t="s">
        <v>30</v>
      </c>
      <c r="E202" s="90">
        <v>3486.3119999999999</v>
      </c>
      <c r="F202" s="91">
        <v>2710</v>
      </c>
      <c r="G202" s="39">
        <f t="shared" si="2"/>
        <v>9447905.5199999996</v>
      </c>
      <c r="H202" s="16"/>
    </row>
    <row r="203" spans="1:8" s="31" customFormat="1" x14ac:dyDescent="0.45">
      <c r="A203" s="37" t="s">
        <v>187</v>
      </c>
      <c r="B203" s="38"/>
      <c r="C203" s="88" t="s">
        <v>953</v>
      </c>
      <c r="D203" s="89" t="s">
        <v>30</v>
      </c>
      <c r="E203" s="90">
        <v>3486.3119999999999</v>
      </c>
      <c r="F203" s="91">
        <v>3605</v>
      </c>
      <c r="G203" s="39">
        <f t="shared" si="2"/>
        <v>12568154.76</v>
      </c>
      <c r="H203" s="16"/>
    </row>
    <row r="204" spans="1:8" s="31" customFormat="1" x14ac:dyDescent="0.45">
      <c r="A204" s="37" t="s">
        <v>188</v>
      </c>
      <c r="B204" s="38"/>
      <c r="C204" s="88" t="s">
        <v>954</v>
      </c>
      <c r="D204" s="89" t="s">
        <v>30</v>
      </c>
      <c r="E204" s="90">
        <v>7263.15</v>
      </c>
      <c r="F204" s="91">
        <v>6780</v>
      </c>
      <c r="G204" s="39">
        <f t="shared" ref="G204:G267" si="3">E204*F204</f>
        <v>49244157</v>
      </c>
      <c r="H204" s="16"/>
    </row>
    <row r="205" spans="1:8" s="31" customFormat="1" ht="23.25" x14ac:dyDescent="0.45">
      <c r="A205" s="37" t="s">
        <v>189</v>
      </c>
      <c r="B205" s="38"/>
      <c r="C205" s="88" t="s">
        <v>239</v>
      </c>
      <c r="D205" s="89" t="s">
        <v>14</v>
      </c>
      <c r="E205" s="90">
        <v>0.118657</v>
      </c>
      <c r="F205" s="91">
        <v>12800000</v>
      </c>
      <c r="G205" s="39">
        <f t="shared" si="3"/>
        <v>1518809.6</v>
      </c>
      <c r="H205" s="16"/>
    </row>
    <row r="206" spans="1:8" s="31" customFormat="1" ht="25.15" customHeight="1" x14ac:dyDescent="0.45">
      <c r="A206" s="37" t="s">
        <v>190</v>
      </c>
      <c r="B206" s="38"/>
      <c r="C206" s="88" t="s">
        <v>563</v>
      </c>
      <c r="D206" s="89" t="s">
        <v>14</v>
      </c>
      <c r="E206" s="90">
        <v>1.9995000000000001</v>
      </c>
      <c r="F206" s="91">
        <v>12800000</v>
      </c>
      <c r="G206" s="39">
        <f t="shared" si="3"/>
        <v>25593600</v>
      </c>
      <c r="H206" s="16"/>
    </row>
    <row r="207" spans="1:8" s="31" customFormat="1" x14ac:dyDescent="0.45">
      <c r="A207" s="37" t="s">
        <v>191</v>
      </c>
      <c r="B207" s="38"/>
      <c r="C207" s="88" t="s">
        <v>550</v>
      </c>
      <c r="D207" s="89" t="s">
        <v>21</v>
      </c>
      <c r="E207" s="90">
        <v>161.45849999999999</v>
      </c>
      <c r="F207" s="91">
        <v>25212</v>
      </c>
      <c r="G207" s="39">
        <f t="shared" si="3"/>
        <v>4070691.7019999996</v>
      </c>
      <c r="H207" s="16"/>
    </row>
    <row r="208" spans="1:8" s="31" customFormat="1" x14ac:dyDescent="0.45">
      <c r="A208" s="37" t="s">
        <v>192</v>
      </c>
      <c r="B208" s="38"/>
      <c r="C208" s="88" t="s">
        <v>681</v>
      </c>
      <c r="D208" s="89" t="s">
        <v>76</v>
      </c>
      <c r="E208" s="92">
        <v>11920</v>
      </c>
      <c r="F208" s="91">
        <v>1386</v>
      </c>
      <c r="G208" s="39">
        <f t="shared" si="3"/>
        <v>16521120</v>
      </c>
      <c r="H208" s="16"/>
    </row>
    <row r="209" spans="1:8" s="31" customFormat="1" x14ac:dyDescent="0.45">
      <c r="A209" s="37" t="s">
        <v>193</v>
      </c>
      <c r="B209" s="38"/>
      <c r="C209" s="88" t="s">
        <v>918</v>
      </c>
      <c r="D209" s="89" t="s">
        <v>75</v>
      </c>
      <c r="E209" s="90">
        <v>10.5</v>
      </c>
      <c r="F209" s="91">
        <v>26785</v>
      </c>
      <c r="G209" s="39">
        <f t="shared" si="3"/>
        <v>281242.5</v>
      </c>
      <c r="H209" s="16"/>
    </row>
    <row r="210" spans="1:8" s="31" customFormat="1" x14ac:dyDescent="0.45">
      <c r="A210" s="37" t="s">
        <v>194</v>
      </c>
      <c r="B210" s="38"/>
      <c r="C210" s="88" t="s">
        <v>755</v>
      </c>
      <c r="D210" s="89" t="s">
        <v>14</v>
      </c>
      <c r="E210" s="90">
        <v>0.4194</v>
      </c>
      <c r="F210" s="91">
        <v>3700000</v>
      </c>
      <c r="G210" s="39">
        <f t="shared" si="3"/>
        <v>1551780</v>
      </c>
      <c r="H210" s="16"/>
    </row>
    <row r="211" spans="1:8" s="31" customFormat="1" x14ac:dyDescent="0.45">
      <c r="A211" s="37" t="s">
        <v>195</v>
      </c>
      <c r="B211" s="38"/>
      <c r="C211" s="88" t="s">
        <v>919</v>
      </c>
      <c r="D211" s="89" t="s">
        <v>23</v>
      </c>
      <c r="E211" s="90">
        <v>1.53</v>
      </c>
      <c r="F211" s="91">
        <v>1178108</v>
      </c>
      <c r="G211" s="39">
        <f t="shared" si="3"/>
        <v>1802505.24</v>
      </c>
      <c r="H211" s="16"/>
    </row>
    <row r="212" spans="1:8" s="31" customFormat="1" x14ac:dyDescent="0.45">
      <c r="A212" s="37" t="s">
        <v>196</v>
      </c>
      <c r="B212" s="38"/>
      <c r="C212" s="88" t="s">
        <v>504</v>
      </c>
      <c r="D212" s="89" t="s">
        <v>21</v>
      </c>
      <c r="E212" s="90">
        <v>66.667000000000002</v>
      </c>
      <c r="F212" s="91">
        <v>12800</v>
      </c>
      <c r="G212" s="39">
        <f t="shared" si="3"/>
        <v>853337.59999999998</v>
      </c>
      <c r="H212" s="16"/>
    </row>
    <row r="213" spans="1:8" s="31" customFormat="1" x14ac:dyDescent="0.45">
      <c r="A213" s="37" t="s">
        <v>197</v>
      </c>
      <c r="B213" s="38"/>
      <c r="C213" s="88" t="s">
        <v>725</v>
      </c>
      <c r="D213" s="89" t="s">
        <v>21</v>
      </c>
      <c r="E213" s="90">
        <v>6054.1750000000002</v>
      </c>
      <c r="F213" s="91">
        <v>4200</v>
      </c>
      <c r="G213" s="39">
        <f t="shared" si="3"/>
        <v>25427535</v>
      </c>
      <c r="H213" s="16"/>
    </row>
    <row r="214" spans="1:8" s="31" customFormat="1" x14ac:dyDescent="0.45">
      <c r="A214" s="37" t="s">
        <v>198</v>
      </c>
      <c r="B214" s="38"/>
      <c r="C214" s="88" t="s">
        <v>772</v>
      </c>
      <c r="D214" s="89" t="s">
        <v>76</v>
      </c>
      <c r="E214" s="90">
        <v>9.1661999999999999</v>
      </c>
      <c r="F214" s="91">
        <v>16827</v>
      </c>
      <c r="G214" s="39">
        <f t="shared" si="3"/>
        <v>154239.64739999999</v>
      </c>
      <c r="H214" s="16"/>
    </row>
    <row r="215" spans="1:8" s="31" customFormat="1" x14ac:dyDescent="0.45">
      <c r="A215" s="37" t="s">
        <v>199</v>
      </c>
      <c r="B215" s="38"/>
      <c r="C215" s="88" t="s">
        <v>904</v>
      </c>
      <c r="D215" s="89" t="s">
        <v>31</v>
      </c>
      <c r="E215" s="90">
        <v>60.6</v>
      </c>
      <c r="F215" s="91">
        <v>45000</v>
      </c>
      <c r="G215" s="39">
        <f t="shared" si="3"/>
        <v>2727000</v>
      </c>
      <c r="H215" s="16"/>
    </row>
    <row r="216" spans="1:8" s="31" customFormat="1" ht="23.25" x14ac:dyDescent="0.45">
      <c r="A216" s="37" t="s">
        <v>200</v>
      </c>
      <c r="B216" s="38"/>
      <c r="C216" s="88" t="s">
        <v>759</v>
      </c>
      <c r="D216" s="89" t="s">
        <v>30</v>
      </c>
      <c r="E216" s="90">
        <v>143.13999999999999</v>
      </c>
      <c r="F216" s="91">
        <v>48214</v>
      </c>
      <c r="G216" s="39">
        <f t="shared" si="3"/>
        <v>6901351.959999999</v>
      </c>
      <c r="H216" s="16"/>
    </row>
    <row r="217" spans="1:8" s="31" customFormat="1" x14ac:dyDescent="0.45">
      <c r="A217" s="37" t="s">
        <v>201</v>
      </c>
      <c r="B217" s="38"/>
      <c r="C217" s="88" t="s">
        <v>732</v>
      </c>
      <c r="D217" s="89" t="s">
        <v>30</v>
      </c>
      <c r="E217" s="90">
        <v>2684.1680000000001</v>
      </c>
      <c r="F217" s="91">
        <v>275</v>
      </c>
      <c r="G217" s="39">
        <f t="shared" si="3"/>
        <v>738146.20000000007</v>
      </c>
      <c r="H217" s="16"/>
    </row>
    <row r="218" spans="1:8" s="31" customFormat="1" x14ac:dyDescent="0.45">
      <c r="A218" s="37" t="s">
        <v>202</v>
      </c>
      <c r="B218" s="38"/>
      <c r="C218" s="88" t="s">
        <v>733</v>
      </c>
      <c r="D218" s="89" t="s">
        <v>21</v>
      </c>
      <c r="E218" s="90">
        <v>2614.056</v>
      </c>
      <c r="F218" s="91">
        <v>4250</v>
      </c>
      <c r="G218" s="39">
        <f t="shared" si="3"/>
        <v>11109738</v>
      </c>
      <c r="H218" s="16"/>
    </row>
    <row r="219" spans="1:8" s="31" customFormat="1" x14ac:dyDescent="0.45">
      <c r="A219" s="37" t="s">
        <v>203</v>
      </c>
      <c r="B219" s="38"/>
      <c r="C219" s="88" t="s">
        <v>787</v>
      </c>
      <c r="D219" s="89" t="s">
        <v>31</v>
      </c>
      <c r="E219" s="92">
        <v>175</v>
      </c>
      <c r="F219" s="91">
        <v>38593</v>
      </c>
      <c r="G219" s="39">
        <f t="shared" si="3"/>
        <v>6753775</v>
      </c>
      <c r="H219" s="16"/>
    </row>
    <row r="220" spans="1:8" s="31" customFormat="1" x14ac:dyDescent="0.45">
      <c r="A220" s="37" t="s">
        <v>204</v>
      </c>
      <c r="B220" s="38"/>
      <c r="C220" s="88" t="s">
        <v>734</v>
      </c>
      <c r="D220" s="89" t="s">
        <v>21</v>
      </c>
      <c r="E220" s="90">
        <v>2665.3119999999999</v>
      </c>
      <c r="F220" s="91">
        <v>73000</v>
      </c>
      <c r="G220" s="39">
        <f t="shared" si="3"/>
        <v>194567776</v>
      </c>
      <c r="H220" s="16"/>
    </row>
    <row r="221" spans="1:8" s="31" customFormat="1" x14ac:dyDescent="0.45">
      <c r="A221" s="37" t="s">
        <v>140</v>
      </c>
      <c r="B221" s="38"/>
      <c r="C221" s="88" t="s">
        <v>314</v>
      </c>
      <c r="D221" s="89" t="s">
        <v>21</v>
      </c>
      <c r="E221" s="90">
        <v>239.92060000000001</v>
      </c>
      <c r="F221" s="91">
        <v>4200</v>
      </c>
      <c r="G221" s="39">
        <f t="shared" si="3"/>
        <v>1007666.52</v>
      </c>
      <c r="H221" s="16"/>
    </row>
    <row r="222" spans="1:8" s="31" customFormat="1" x14ac:dyDescent="0.45">
      <c r="A222" s="37" t="s">
        <v>205</v>
      </c>
      <c r="B222" s="38"/>
      <c r="C222" s="88" t="s">
        <v>760</v>
      </c>
      <c r="D222" s="89" t="s">
        <v>21</v>
      </c>
      <c r="E222" s="90">
        <v>169.9</v>
      </c>
      <c r="F222" s="91">
        <v>800000</v>
      </c>
      <c r="G222" s="39">
        <f t="shared" si="3"/>
        <v>135920000</v>
      </c>
      <c r="H222" s="16"/>
    </row>
    <row r="223" spans="1:8" s="31" customFormat="1" x14ac:dyDescent="0.45">
      <c r="A223" s="37" t="s">
        <v>206</v>
      </c>
      <c r="B223" s="38"/>
      <c r="C223" s="88" t="s">
        <v>635</v>
      </c>
      <c r="D223" s="89" t="s">
        <v>21</v>
      </c>
      <c r="E223" s="90">
        <v>525.29999999999995</v>
      </c>
      <c r="F223" s="91">
        <v>98176</v>
      </c>
      <c r="G223" s="39">
        <f t="shared" si="3"/>
        <v>51571852.799999997</v>
      </c>
      <c r="H223" s="16"/>
    </row>
    <row r="224" spans="1:8" s="31" customFormat="1" x14ac:dyDescent="0.45">
      <c r="A224" s="37" t="s">
        <v>207</v>
      </c>
      <c r="B224" s="38"/>
      <c r="C224" s="88" t="s">
        <v>636</v>
      </c>
      <c r="D224" s="89" t="s">
        <v>21</v>
      </c>
      <c r="E224" s="92">
        <v>561</v>
      </c>
      <c r="F224" s="91">
        <v>4200</v>
      </c>
      <c r="G224" s="39">
        <f t="shared" si="3"/>
        <v>2356200</v>
      </c>
      <c r="H224" s="16"/>
    </row>
    <row r="225" spans="1:8" s="31" customFormat="1" x14ac:dyDescent="0.45">
      <c r="A225" s="37" t="s">
        <v>208</v>
      </c>
      <c r="B225" s="38"/>
      <c r="C225" s="88" t="s">
        <v>637</v>
      </c>
      <c r="D225" s="89" t="s">
        <v>21</v>
      </c>
      <c r="E225" s="92">
        <v>594</v>
      </c>
      <c r="F225" s="91">
        <v>4200</v>
      </c>
      <c r="G225" s="39">
        <f t="shared" si="3"/>
        <v>2494800</v>
      </c>
      <c r="H225" s="16"/>
    </row>
    <row r="226" spans="1:8" s="31" customFormat="1" ht="23.25" x14ac:dyDescent="0.45">
      <c r="A226" s="37" t="s">
        <v>209</v>
      </c>
      <c r="B226" s="38"/>
      <c r="C226" s="88" t="s">
        <v>240</v>
      </c>
      <c r="D226" s="89" t="s">
        <v>241</v>
      </c>
      <c r="E226" s="90">
        <v>0.45386799999999999</v>
      </c>
      <c r="F226" s="91">
        <v>43000</v>
      </c>
      <c r="G226" s="39">
        <f t="shared" si="3"/>
        <v>19516.324000000001</v>
      </c>
      <c r="H226" s="16"/>
    </row>
    <row r="227" spans="1:8" s="31" customFormat="1" x14ac:dyDescent="0.45">
      <c r="A227" s="37" t="s">
        <v>210</v>
      </c>
      <c r="B227" s="38"/>
      <c r="C227" s="88" t="s">
        <v>638</v>
      </c>
      <c r="D227" s="89" t="s">
        <v>21</v>
      </c>
      <c r="E227" s="92">
        <v>561</v>
      </c>
      <c r="F227" s="91">
        <v>14783</v>
      </c>
      <c r="G227" s="39">
        <f t="shared" si="3"/>
        <v>8293263</v>
      </c>
      <c r="H227" s="16"/>
    </row>
    <row r="228" spans="1:8" s="31" customFormat="1" x14ac:dyDescent="0.45">
      <c r="A228" s="37" t="s">
        <v>211</v>
      </c>
      <c r="B228" s="38"/>
      <c r="C228" s="88" t="s">
        <v>920</v>
      </c>
      <c r="D228" s="89" t="s">
        <v>30</v>
      </c>
      <c r="E228" s="92">
        <v>240</v>
      </c>
      <c r="F228" s="91">
        <v>35</v>
      </c>
      <c r="G228" s="39">
        <f t="shared" si="3"/>
        <v>8400</v>
      </c>
      <c r="H228" s="16"/>
    </row>
    <row r="229" spans="1:8" s="31" customFormat="1" ht="23.25" x14ac:dyDescent="0.45">
      <c r="A229" s="37" t="s">
        <v>212</v>
      </c>
      <c r="B229" s="38"/>
      <c r="C229" s="88" t="s">
        <v>921</v>
      </c>
      <c r="D229" s="89" t="s">
        <v>30</v>
      </c>
      <c r="E229" s="92">
        <v>120</v>
      </c>
      <c r="F229" s="91">
        <v>996</v>
      </c>
      <c r="G229" s="39">
        <f t="shared" si="3"/>
        <v>119520</v>
      </c>
      <c r="H229" s="16"/>
    </row>
    <row r="230" spans="1:8" s="31" customFormat="1" ht="23.25" x14ac:dyDescent="0.45">
      <c r="A230" s="37" t="s">
        <v>213</v>
      </c>
      <c r="B230" s="38"/>
      <c r="C230" s="88" t="s">
        <v>922</v>
      </c>
      <c r="D230" s="89" t="s">
        <v>30</v>
      </c>
      <c r="E230" s="92">
        <v>120</v>
      </c>
      <c r="F230" s="91">
        <v>996</v>
      </c>
      <c r="G230" s="39">
        <f t="shared" si="3"/>
        <v>119520</v>
      </c>
      <c r="H230" s="16"/>
    </row>
    <row r="231" spans="1:8" s="31" customFormat="1" x14ac:dyDescent="0.45">
      <c r="A231" s="37" t="s">
        <v>214</v>
      </c>
      <c r="B231" s="38"/>
      <c r="C231" s="88" t="s">
        <v>923</v>
      </c>
      <c r="D231" s="89" t="s">
        <v>30</v>
      </c>
      <c r="E231" s="92">
        <v>240</v>
      </c>
      <c r="F231" s="91">
        <v>35</v>
      </c>
      <c r="G231" s="39">
        <f t="shared" si="3"/>
        <v>8400</v>
      </c>
      <c r="H231" s="16"/>
    </row>
    <row r="232" spans="1:8" s="31" customFormat="1" x14ac:dyDescent="0.45">
      <c r="A232" s="37" t="s">
        <v>215</v>
      </c>
      <c r="B232" s="38"/>
      <c r="C232" s="88" t="s">
        <v>784</v>
      </c>
      <c r="D232" s="89" t="s">
        <v>21</v>
      </c>
      <c r="E232" s="90">
        <v>40.5</v>
      </c>
      <c r="F232" s="91">
        <v>557503</v>
      </c>
      <c r="G232" s="39">
        <f t="shared" si="3"/>
        <v>22578871.5</v>
      </c>
      <c r="H232" s="16"/>
    </row>
    <row r="233" spans="1:8" s="31" customFormat="1" ht="16.5" customHeight="1" x14ac:dyDescent="0.45">
      <c r="A233" s="37" t="s">
        <v>216</v>
      </c>
      <c r="B233" s="38"/>
      <c r="C233" s="88" t="s">
        <v>878</v>
      </c>
      <c r="D233" s="89" t="s">
        <v>21</v>
      </c>
      <c r="E233" s="92">
        <v>561</v>
      </c>
      <c r="F233" s="91">
        <v>64286</v>
      </c>
      <c r="G233" s="39">
        <f t="shared" si="3"/>
        <v>36064446</v>
      </c>
      <c r="H233" s="16"/>
    </row>
    <row r="234" spans="1:8" s="31" customFormat="1" x14ac:dyDescent="0.45">
      <c r="A234" s="37" t="s">
        <v>217</v>
      </c>
      <c r="B234" s="38"/>
      <c r="C234" s="88" t="s">
        <v>571</v>
      </c>
      <c r="D234" s="89" t="s">
        <v>14</v>
      </c>
      <c r="E234" s="90">
        <v>8.2759999999999998</v>
      </c>
      <c r="F234" s="91">
        <v>8134196</v>
      </c>
      <c r="G234" s="39">
        <f t="shared" si="3"/>
        <v>67318606.096000001</v>
      </c>
      <c r="H234" s="16"/>
    </row>
    <row r="235" spans="1:8" s="31" customFormat="1" x14ac:dyDescent="0.45">
      <c r="A235" s="37" t="s">
        <v>218</v>
      </c>
      <c r="B235" s="38"/>
      <c r="C235" s="88" t="s">
        <v>574</v>
      </c>
      <c r="D235" s="89" t="s">
        <v>14</v>
      </c>
      <c r="E235" s="90">
        <v>1.3083</v>
      </c>
      <c r="F235" s="91">
        <v>8392857</v>
      </c>
      <c r="G235" s="39">
        <f t="shared" si="3"/>
        <v>10980374.813100001</v>
      </c>
      <c r="H235" s="16"/>
    </row>
    <row r="236" spans="1:8" s="31" customFormat="1" x14ac:dyDescent="0.45">
      <c r="A236" s="37" t="s">
        <v>219</v>
      </c>
      <c r="B236" s="38"/>
      <c r="C236" s="88" t="s">
        <v>551</v>
      </c>
      <c r="D236" s="89" t="s">
        <v>14</v>
      </c>
      <c r="E236" s="90">
        <v>0.59792999999999996</v>
      </c>
      <c r="F236" s="91">
        <v>8885395</v>
      </c>
      <c r="G236" s="39">
        <f t="shared" si="3"/>
        <v>5312844.2323499992</v>
      </c>
      <c r="H236" s="16"/>
    </row>
    <row r="237" spans="1:8" s="31" customFormat="1" x14ac:dyDescent="0.45">
      <c r="A237" s="37" t="s">
        <v>220</v>
      </c>
      <c r="B237" s="38"/>
      <c r="C237" s="88" t="s">
        <v>851</v>
      </c>
      <c r="D237" s="89" t="s">
        <v>30</v>
      </c>
      <c r="E237" s="92">
        <v>8512</v>
      </c>
      <c r="F237" s="91">
        <v>2232</v>
      </c>
      <c r="G237" s="39">
        <f t="shared" si="3"/>
        <v>18998784</v>
      </c>
      <c r="H237" s="16"/>
    </row>
    <row r="238" spans="1:8" s="31" customFormat="1" ht="23.25" x14ac:dyDescent="0.45">
      <c r="A238" s="37" t="s">
        <v>221</v>
      </c>
      <c r="B238" s="38"/>
      <c r="C238" s="88" t="s">
        <v>505</v>
      </c>
      <c r="D238" s="89" t="s">
        <v>14</v>
      </c>
      <c r="E238" s="90">
        <v>33.527000000000001</v>
      </c>
      <c r="F238" s="91">
        <v>7343750</v>
      </c>
      <c r="G238" s="39">
        <f t="shared" si="3"/>
        <v>246213906.25</v>
      </c>
      <c r="H238" s="16"/>
    </row>
    <row r="239" spans="1:8" s="31" customFormat="1" ht="26.25" customHeight="1" x14ac:dyDescent="0.45">
      <c r="A239" s="37" t="s">
        <v>222</v>
      </c>
      <c r="B239" s="38"/>
      <c r="C239" s="88" t="s">
        <v>744</v>
      </c>
      <c r="D239" s="89" t="s">
        <v>21</v>
      </c>
      <c r="E239" s="90">
        <v>5267.6260000000002</v>
      </c>
      <c r="F239" s="91">
        <v>25250</v>
      </c>
      <c r="G239" s="39">
        <f t="shared" si="3"/>
        <v>133007556.5</v>
      </c>
      <c r="H239" s="16"/>
    </row>
    <row r="240" spans="1:8" s="31" customFormat="1" x14ac:dyDescent="0.45">
      <c r="A240" s="37" t="s">
        <v>223</v>
      </c>
      <c r="B240" s="38"/>
      <c r="C240" s="88" t="s">
        <v>741</v>
      </c>
      <c r="D240" s="89" t="s">
        <v>21</v>
      </c>
      <c r="E240" s="90">
        <v>5114.2</v>
      </c>
      <c r="F240" s="91">
        <v>15960</v>
      </c>
      <c r="G240" s="39">
        <f t="shared" si="3"/>
        <v>81622632</v>
      </c>
      <c r="H240" s="16"/>
    </row>
    <row r="241" spans="1:8" s="31" customFormat="1" x14ac:dyDescent="0.45">
      <c r="A241" s="37" t="s">
        <v>224</v>
      </c>
      <c r="B241" s="38"/>
      <c r="C241" s="88" t="s">
        <v>925</v>
      </c>
      <c r="D241" s="89" t="s">
        <v>31</v>
      </c>
      <c r="E241" s="92">
        <v>120</v>
      </c>
      <c r="F241" s="91">
        <v>350000</v>
      </c>
      <c r="G241" s="39">
        <f t="shared" si="3"/>
        <v>42000000</v>
      </c>
      <c r="H241" s="16"/>
    </row>
    <row r="242" spans="1:8" s="31" customFormat="1" x14ac:dyDescent="0.45">
      <c r="A242" s="37" t="s">
        <v>225</v>
      </c>
      <c r="B242" s="38"/>
      <c r="C242" s="88" t="s">
        <v>687</v>
      </c>
      <c r="D242" s="89" t="s">
        <v>21</v>
      </c>
      <c r="E242" s="92">
        <v>2980</v>
      </c>
      <c r="F242" s="91">
        <v>5625</v>
      </c>
      <c r="G242" s="39">
        <f t="shared" si="3"/>
        <v>16762500</v>
      </c>
      <c r="H242" s="16"/>
    </row>
    <row r="243" spans="1:8" s="31" customFormat="1" ht="23.25" x14ac:dyDescent="0.45">
      <c r="A243" s="37" t="s">
        <v>226</v>
      </c>
      <c r="B243" s="38"/>
      <c r="C243" s="88" t="s">
        <v>686</v>
      </c>
      <c r="D243" s="89" t="s">
        <v>21</v>
      </c>
      <c r="E243" s="90">
        <v>3337.6</v>
      </c>
      <c r="F243" s="91">
        <v>97660</v>
      </c>
      <c r="G243" s="39">
        <f t="shared" si="3"/>
        <v>325950016</v>
      </c>
      <c r="H243" s="16"/>
    </row>
    <row r="244" spans="1:8" s="31" customFormat="1" x14ac:dyDescent="0.45">
      <c r="A244" s="37" t="s">
        <v>227</v>
      </c>
      <c r="B244" s="38"/>
      <c r="C244" s="88" t="s">
        <v>685</v>
      </c>
      <c r="D244" s="89" t="s">
        <v>30</v>
      </c>
      <c r="E244" s="92">
        <v>258</v>
      </c>
      <c r="F244" s="91">
        <v>12000</v>
      </c>
      <c r="G244" s="39">
        <f t="shared" si="3"/>
        <v>3096000</v>
      </c>
      <c r="H244" s="16"/>
    </row>
    <row r="245" spans="1:8" s="31" customFormat="1" x14ac:dyDescent="0.45">
      <c r="A245" s="37" t="s">
        <v>228</v>
      </c>
      <c r="B245" s="38"/>
      <c r="C245" s="88" t="s">
        <v>684</v>
      </c>
      <c r="D245" s="89" t="s">
        <v>76</v>
      </c>
      <c r="E245" s="92">
        <v>11920</v>
      </c>
      <c r="F245" s="91">
        <v>1800</v>
      </c>
      <c r="G245" s="39">
        <f t="shared" si="3"/>
        <v>21456000</v>
      </c>
      <c r="H245" s="16"/>
    </row>
    <row r="246" spans="1:8" s="31" customFormat="1" x14ac:dyDescent="0.45">
      <c r="A246" s="37" t="s">
        <v>229</v>
      </c>
      <c r="B246" s="38"/>
      <c r="C246" s="88" t="s">
        <v>683</v>
      </c>
      <c r="D246" s="89" t="s">
        <v>30</v>
      </c>
      <c r="E246" s="92">
        <v>23691</v>
      </c>
      <c r="F246" s="91">
        <v>996</v>
      </c>
      <c r="G246" s="39">
        <f t="shared" si="3"/>
        <v>23596236</v>
      </c>
      <c r="H246" s="16"/>
    </row>
    <row r="247" spans="1:8" s="31" customFormat="1" x14ac:dyDescent="0.45">
      <c r="A247" s="37" t="s">
        <v>230</v>
      </c>
      <c r="B247" s="38"/>
      <c r="C247" s="88" t="s">
        <v>682</v>
      </c>
      <c r="D247" s="89" t="s">
        <v>76</v>
      </c>
      <c r="E247" s="92">
        <v>14900</v>
      </c>
      <c r="F247" s="91">
        <v>1800</v>
      </c>
      <c r="G247" s="39">
        <f t="shared" si="3"/>
        <v>26820000</v>
      </c>
      <c r="H247" s="16"/>
    </row>
    <row r="248" spans="1:8" s="31" customFormat="1" x14ac:dyDescent="0.45">
      <c r="A248" s="37" t="s">
        <v>231</v>
      </c>
      <c r="B248" s="38"/>
      <c r="C248" s="88" t="s">
        <v>880</v>
      </c>
      <c r="D248" s="89" t="s">
        <v>31</v>
      </c>
      <c r="E248" s="92">
        <v>60</v>
      </c>
      <c r="F248" s="91">
        <v>16500</v>
      </c>
      <c r="G248" s="39">
        <f t="shared" si="3"/>
        <v>990000</v>
      </c>
      <c r="H248" s="16"/>
    </row>
    <row r="249" spans="1:8" s="31" customFormat="1" ht="23.25" x14ac:dyDescent="0.45">
      <c r="A249" s="37" t="s">
        <v>242</v>
      </c>
      <c r="B249" s="38"/>
      <c r="C249" s="88" t="s">
        <v>517</v>
      </c>
      <c r="D249" s="89" t="s">
        <v>14</v>
      </c>
      <c r="E249" s="90">
        <v>8.6460000000000008</v>
      </c>
      <c r="F249" s="91">
        <v>7793177</v>
      </c>
      <c r="G249" s="39">
        <f t="shared" si="3"/>
        <v>67379808.342000008</v>
      </c>
      <c r="H249" s="16"/>
    </row>
    <row r="250" spans="1:8" s="31" customFormat="1" ht="23.25" x14ac:dyDescent="0.45">
      <c r="A250" s="37" t="s">
        <v>243</v>
      </c>
      <c r="B250" s="38"/>
      <c r="C250" s="88" t="s">
        <v>564</v>
      </c>
      <c r="D250" s="89" t="s">
        <v>14</v>
      </c>
      <c r="E250" s="90">
        <v>35.543300000000002</v>
      </c>
      <c r="F250" s="91">
        <v>7394311</v>
      </c>
      <c r="G250" s="39">
        <f t="shared" si="3"/>
        <v>262818214.16630003</v>
      </c>
      <c r="H250" s="16"/>
    </row>
    <row r="251" spans="1:8" s="31" customFormat="1" ht="23.25" x14ac:dyDescent="0.45">
      <c r="A251" s="37" t="s">
        <v>244</v>
      </c>
      <c r="B251" s="38"/>
      <c r="C251" s="88" t="s">
        <v>558</v>
      </c>
      <c r="D251" s="89" t="s">
        <v>14</v>
      </c>
      <c r="E251" s="90">
        <v>13.928900000000001</v>
      </c>
      <c r="F251" s="91">
        <v>7142858</v>
      </c>
      <c r="G251" s="39">
        <f t="shared" si="3"/>
        <v>99492154.796200007</v>
      </c>
      <c r="H251" s="16"/>
    </row>
    <row r="252" spans="1:8" s="31" customFormat="1" ht="23.25" x14ac:dyDescent="0.45">
      <c r="A252" s="37" t="s">
        <v>245</v>
      </c>
      <c r="B252" s="38"/>
      <c r="C252" s="88" t="s">
        <v>625</v>
      </c>
      <c r="D252" s="89" t="s">
        <v>14</v>
      </c>
      <c r="E252" s="90">
        <v>0.5756</v>
      </c>
      <c r="F252" s="91">
        <v>7346487</v>
      </c>
      <c r="G252" s="39">
        <f t="shared" si="3"/>
        <v>4228637.9172</v>
      </c>
      <c r="H252" s="16"/>
    </row>
    <row r="253" spans="1:8" s="31" customFormat="1" ht="23.25" x14ac:dyDescent="0.45">
      <c r="A253" s="37" t="s">
        <v>246</v>
      </c>
      <c r="B253" s="38"/>
      <c r="C253" s="88" t="s">
        <v>518</v>
      </c>
      <c r="D253" s="89" t="s">
        <v>14</v>
      </c>
      <c r="E253" s="90">
        <v>39.481999999999999</v>
      </c>
      <c r="F253" s="91">
        <v>6557958</v>
      </c>
      <c r="G253" s="39">
        <f t="shared" si="3"/>
        <v>258921297.75599998</v>
      </c>
      <c r="H253" s="16"/>
    </row>
    <row r="254" spans="1:8" s="31" customFormat="1" x14ac:dyDescent="0.45">
      <c r="A254" s="37" t="s">
        <v>247</v>
      </c>
      <c r="B254" s="38"/>
      <c r="C254" s="88" t="s">
        <v>871</v>
      </c>
      <c r="D254" s="89" t="s">
        <v>14</v>
      </c>
      <c r="E254" s="90">
        <v>0.04</v>
      </c>
      <c r="F254" s="91">
        <v>9464706</v>
      </c>
      <c r="G254" s="39">
        <f t="shared" si="3"/>
        <v>378588.24</v>
      </c>
      <c r="H254" s="16"/>
    </row>
    <row r="255" spans="1:8" s="31" customFormat="1" x14ac:dyDescent="0.45">
      <c r="A255" s="37" t="s">
        <v>139</v>
      </c>
      <c r="B255" s="38"/>
      <c r="C255" s="88" t="s">
        <v>870</v>
      </c>
      <c r="D255" s="89" t="s">
        <v>14</v>
      </c>
      <c r="E255" s="90">
        <v>7.0999999999999994E-2</v>
      </c>
      <c r="F255" s="91">
        <v>9464286</v>
      </c>
      <c r="G255" s="39">
        <f t="shared" si="3"/>
        <v>671964.30599999998</v>
      </c>
      <c r="H255" s="16"/>
    </row>
    <row r="256" spans="1:8" s="31" customFormat="1" x14ac:dyDescent="0.45">
      <c r="A256" s="37" t="s">
        <v>248</v>
      </c>
      <c r="B256" s="38"/>
      <c r="C256" s="88" t="s">
        <v>868</v>
      </c>
      <c r="D256" s="89" t="s">
        <v>14</v>
      </c>
      <c r="E256" s="90">
        <v>0.254</v>
      </c>
      <c r="F256" s="91">
        <v>8750000</v>
      </c>
      <c r="G256" s="39">
        <f t="shared" si="3"/>
        <v>2222500</v>
      </c>
      <c r="H256" s="16"/>
    </row>
    <row r="257" spans="1:8" s="31" customFormat="1" x14ac:dyDescent="0.45">
      <c r="A257" s="37" t="s">
        <v>249</v>
      </c>
      <c r="B257" s="38"/>
      <c r="C257" s="88" t="s">
        <v>867</v>
      </c>
      <c r="D257" s="89" t="s">
        <v>14</v>
      </c>
      <c r="E257" s="90">
        <v>2.5999999999999999E-2</v>
      </c>
      <c r="F257" s="91">
        <v>8750000</v>
      </c>
      <c r="G257" s="39">
        <f t="shared" si="3"/>
        <v>227500</v>
      </c>
      <c r="H257" s="16"/>
    </row>
    <row r="258" spans="1:8" s="31" customFormat="1" x14ac:dyDescent="0.45">
      <c r="A258" s="37" t="s">
        <v>250</v>
      </c>
      <c r="B258" s="38"/>
      <c r="C258" s="88" t="s">
        <v>568</v>
      </c>
      <c r="D258" s="89" t="s">
        <v>14</v>
      </c>
      <c r="E258" s="90">
        <v>3.5649999999999999</v>
      </c>
      <c r="F258" s="91">
        <v>8041062</v>
      </c>
      <c r="G258" s="39">
        <f t="shared" si="3"/>
        <v>28666386.030000001</v>
      </c>
      <c r="H258" s="16"/>
    </row>
    <row r="259" spans="1:8" s="31" customFormat="1" x14ac:dyDescent="0.45">
      <c r="A259" s="37" t="s">
        <v>251</v>
      </c>
      <c r="B259" s="38"/>
      <c r="C259" s="88" t="s">
        <v>864</v>
      </c>
      <c r="D259" s="89" t="s">
        <v>14</v>
      </c>
      <c r="E259" s="90">
        <v>3.0000000000000001E-3</v>
      </c>
      <c r="F259" s="91">
        <v>8750000</v>
      </c>
      <c r="G259" s="39">
        <f t="shared" si="3"/>
        <v>26250</v>
      </c>
      <c r="H259" s="16"/>
    </row>
    <row r="260" spans="1:8" s="31" customFormat="1" x14ac:dyDescent="0.45">
      <c r="A260" s="37" t="s">
        <v>252</v>
      </c>
      <c r="B260" s="38"/>
      <c r="C260" s="88" t="s">
        <v>863</v>
      </c>
      <c r="D260" s="89" t="s">
        <v>14</v>
      </c>
      <c r="E260" s="90">
        <v>0.215</v>
      </c>
      <c r="F260" s="91">
        <v>10892857</v>
      </c>
      <c r="G260" s="39">
        <f t="shared" si="3"/>
        <v>2341964.2549999999</v>
      </c>
      <c r="H260" s="16"/>
    </row>
    <row r="261" spans="1:8" s="31" customFormat="1" ht="23.25" x14ac:dyDescent="0.45">
      <c r="A261" s="37" t="s">
        <v>253</v>
      </c>
      <c r="B261" s="38"/>
      <c r="C261" s="88" t="s">
        <v>520</v>
      </c>
      <c r="D261" s="89" t="s">
        <v>14</v>
      </c>
      <c r="E261" s="90">
        <v>3.2507000000000001</v>
      </c>
      <c r="F261" s="91">
        <v>7142858</v>
      </c>
      <c r="G261" s="39">
        <f t="shared" si="3"/>
        <v>23219288.500600003</v>
      </c>
      <c r="H261" s="16"/>
    </row>
    <row r="262" spans="1:8" s="31" customFormat="1" x14ac:dyDescent="0.45">
      <c r="A262" s="37" t="s">
        <v>254</v>
      </c>
      <c r="B262" s="38"/>
      <c r="C262" s="88" t="s">
        <v>861</v>
      </c>
      <c r="D262" s="89" t="s">
        <v>14</v>
      </c>
      <c r="E262" s="90">
        <v>1.51</v>
      </c>
      <c r="F262" s="91">
        <v>7142858</v>
      </c>
      <c r="G262" s="39">
        <f t="shared" si="3"/>
        <v>10785715.58</v>
      </c>
      <c r="H262" s="16"/>
    </row>
    <row r="263" spans="1:8" s="31" customFormat="1" ht="23.25" x14ac:dyDescent="0.45">
      <c r="A263" s="37" t="s">
        <v>255</v>
      </c>
      <c r="B263" s="38"/>
      <c r="C263" s="88" t="s">
        <v>798</v>
      </c>
      <c r="D263" s="89" t="s">
        <v>14</v>
      </c>
      <c r="E263" s="90">
        <v>6.0000000000000001E-3</v>
      </c>
      <c r="F263" s="91">
        <v>7142858</v>
      </c>
      <c r="G263" s="39">
        <f t="shared" si="3"/>
        <v>42857.148000000001</v>
      </c>
      <c r="H263" s="16"/>
    </row>
    <row r="264" spans="1:8" s="31" customFormat="1" x14ac:dyDescent="0.45">
      <c r="A264" s="37" t="s">
        <v>256</v>
      </c>
      <c r="B264" s="38"/>
      <c r="C264" s="88" t="s">
        <v>583</v>
      </c>
      <c r="D264" s="89" t="s">
        <v>30</v>
      </c>
      <c r="E264" s="92">
        <v>48</v>
      </c>
      <c r="F264" s="91">
        <v>2800</v>
      </c>
      <c r="G264" s="39">
        <f t="shared" si="3"/>
        <v>134400</v>
      </c>
      <c r="H264" s="16"/>
    </row>
    <row r="265" spans="1:8" s="31" customFormat="1" x14ac:dyDescent="0.45">
      <c r="A265" s="37" t="s">
        <v>257</v>
      </c>
      <c r="B265" s="38"/>
      <c r="C265" s="88" t="s">
        <v>592</v>
      </c>
      <c r="D265" s="89" t="s">
        <v>14</v>
      </c>
      <c r="E265" s="90">
        <v>1.6E-2</v>
      </c>
      <c r="F265" s="91">
        <v>9130435</v>
      </c>
      <c r="G265" s="39">
        <f t="shared" si="3"/>
        <v>146086.96</v>
      </c>
      <c r="H265" s="16"/>
    </row>
    <row r="266" spans="1:8" s="31" customFormat="1" x14ac:dyDescent="0.45">
      <c r="A266" s="37" t="s">
        <v>258</v>
      </c>
      <c r="B266" s="38"/>
      <c r="C266" s="88" t="s">
        <v>847</v>
      </c>
      <c r="D266" s="89" t="s">
        <v>14</v>
      </c>
      <c r="E266" s="90">
        <v>0.21</v>
      </c>
      <c r="F266" s="91">
        <v>9130435</v>
      </c>
      <c r="G266" s="39">
        <f t="shared" si="3"/>
        <v>1917391.3499999999</v>
      </c>
      <c r="H266" s="16"/>
    </row>
    <row r="267" spans="1:8" s="31" customFormat="1" x14ac:dyDescent="0.45">
      <c r="A267" s="37" t="s">
        <v>259</v>
      </c>
      <c r="B267" s="38"/>
      <c r="C267" s="88" t="s">
        <v>854</v>
      </c>
      <c r="D267" s="89" t="s">
        <v>14</v>
      </c>
      <c r="E267" s="90">
        <v>1.665</v>
      </c>
      <c r="F267" s="91">
        <v>8119130</v>
      </c>
      <c r="G267" s="39">
        <f t="shared" si="3"/>
        <v>13518351.450000001</v>
      </c>
      <c r="H267" s="16"/>
    </row>
    <row r="268" spans="1:8" s="31" customFormat="1" x14ac:dyDescent="0.45">
      <c r="A268" s="37" t="s">
        <v>260</v>
      </c>
      <c r="B268" s="38"/>
      <c r="C268" s="88" t="s">
        <v>582</v>
      </c>
      <c r="D268" s="89" t="s">
        <v>14</v>
      </c>
      <c r="E268" s="90">
        <v>0.93899999999999995</v>
      </c>
      <c r="F268" s="91">
        <v>9130435</v>
      </c>
      <c r="G268" s="39">
        <f t="shared" ref="G268:G293" si="4">E268*F268</f>
        <v>8573478.4649999999</v>
      </c>
      <c r="H268" s="16"/>
    </row>
    <row r="269" spans="1:8" s="31" customFormat="1" x14ac:dyDescent="0.45">
      <c r="A269" s="37" t="s">
        <v>261</v>
      </c>
      <c r="B269" s="38"/>
      <c r="C269" s="88" t="s">
        <v>841</v>
      </c>
      <c r="D269" s="89" t="s">
        <v>14</v>
      </c>
      <c r="E269" s="90">
        <v>0.872</v>
      </c>
      <c r="F269" s="91">
        <v>9130435</v>
      </c>
      <c r="G269" s="39">
        <f t="shared" si="4"/>
        <v>7961739.3200000003</v>
      </c>
      <c r="H269" s="16"/>
    </row>
    <row r="270" spans="1:8" s="31" customFormat="1" x14ac:dyDescent="0.45">
      <c r="A270" s="37" t="s">
        <v>262</v>
      </c>
      <c r="B270" s="38"/>
      <c r="C270" s="88" t="s">
        <v>840</v>
      </c>
      <c r="D270" s="89" t="s">
        <v>14</v>
      </c>
      <c r="E270" s="90">
        <v>20.23</v>
      </c>
      <c r="F270" s="91">
        <v>8041062</v>
      </c>
      <c r="G270" s="39">
        <f t="shared" si="4"/>
        <v>162670684.25999999</v>
      </c>
      <c r="H270" s="16"/>
    </row>
    <row r="271" spans="1:8" s="31" customFormat="1" x14ac:dyDescent="0.45">
      <c r="A271" s="37" t="s">
        <v>263</v>
      </c>
      <c r="B271" s="38"/>
      <c r="C271" s="88" t="s">
        <v>589</v>
      </c>
      <c r="D271" s="89" t="s">
        <v>14</v>
      </c>
      <c r="E271" s="90">
        <v>1.2170000000000001</v>
      </c>
      <c r="F271" s="91">
        <v>9130435</v>
      </c>
      <c r="G271" s="39">
        <f t="shared" si="4"/>
        <v>11111739.395000001</v>
      </c>
      <c r="H271" s="16"/>
    </row>
    <row r="272" spans="1:8" s="31" customFormat="1" x14ac:dyDescent="0.45">
      <c r="A272" s="37" t="s">
        <v>264</v>
      </c>
      <c r="B272" s="38"/>
      <c r="C272" s="88" t="s">
        <v>836</v>
      </c>
      <c r="D272" s="89" t="s">
        <v>30</v>
      </c>
      <c r="E272" s="92">
        <v>3</v>
      </c>
      <c r="F272" s="91">
        <v>1039286</v>
      </c>
      <c r="G272" s="39">
        <f t="shared" si="4"/>
        <v>3117858</v>
      </c>
      <c r="H272" s="16"/>
    </row>
    <row r="273" spans="1:8" s="31" customFormat="1" x14ac:dyDescent="0.45">
      <c r="A273" s="37" t="s">
        <v>265</v>
      </c>
      <c r="B273" s="38"/>
      <c r="C273" s="88" t="s">
        <v>835</v>
      </c>
      <c r="D273" s="89" t="s">
        <v>30</v>
      </c>
      <c r="E273" s="92">
        <v>2</v>
      </c>
      <c r="F273" s="91">
        <v>1048214</v>
      </c>
      <c r="G273" s="39">
        <f t="shared" si="4"/>
        <v>2096428</v>
      </c>
      <c r="H273" s="16"/>
    </row>
    <row r="274" spans="1:8" s="31" customFormat="1" x14ac:dyDescent="0.45">
      <c r="A274" s="37" t="s">
        <v>266</v>
      </c>
      <c r="B274" s="38"/>
      <c r="C274" s="88" t="s">
        <v>833</v>
      </c>
      <c r="D274" s="89" t="s">
        <v>14</v>
      </c>
      <c r="E274" s="90">
        <v>3.4000000000000002E-2</v>
      </c>
      <c r="F274" s="91">
        <v>10982143</v>
      </c>
      <c r="G274" s="39">
        <f t="shared" si="4"/>
        <v>373392.86200000002</v>
      </c>
      <c r="H274" s="16"/>
    </row>
    <row r="275" spans="1:8" s="31" customFormat="1" x14ac:dyDescent="0.45">
      <c r="A275" s="37" t="s">
        <v>267</v>
      </c>
      <c r="B275" s="38"/>
      <c r="C275" s="88" t="s">
        <v>822</v>
      </c>
      <c r="D275" s="89" t="s">
        <v>30</v>
      </c>
      <c r="E275" s="92">
        <v>133</v>
      </c>
      <c r="F275" s="91">
        <v>1120536</v>
      </c>
      <c r="G275" s="39">
        <f t="shared" si="4"/>
        <v>149031288</v>
      </c>
      <c r="H275" s="16"/>
    </row>
    <row r="276" spans="1:8" s="31" customFormat="1" x14ac:dyDescent="0.45">
      <c r="A276" s="37" t="s">
        <v>268</v>
      </c>
      <c r="B276" s="38"/>
      <c r="C276" s="88" t="s">
        <v>821</v>
      </c>
      <c r="D276" s="89" t="s">
        <v>30</v>
      </c>
      <c r="E276" s="92">
        <v>147</v>
      </c>
      <c r="F276" s="91">
        <v>1143750</v>
      </c>
      <c r="G276" s="39">
        <f t="shared" si="4"/>
        <v>168131250</v>
      </c>
      <c r="H276" s="16"/>
    </row>
    <row r="277" spans="1:8" s="31" customFormat="1" x14ac:dyDescent="0.45">
      <c r="A277" s="37" t="s">
        <v>269</v>
      </c>
      <c r="B277" s="38"/>
      <c r="C277" s="88" t="s">
        <v>820</v>
      </c>
      <c r="D277" s="89" t="s">
        <v>30</v>
      </c>
      <c r="E277" s="92">
        <v>31</v>
      </c>
      <c r="F277" s="91">
        <v>1237500</v>
      </c>
      <c r="G277" s="39">
        <f t="shared" si="4"/>
        <v>38362500</v>
      </c>
      <c r="H277" s="16"/>
    </row>
    <row r="278" spans="1:8" s="31" customFormat="1" x14ac:dyDescent="0.45">
      <c r="A278" s="37" t="s">
        <v>270</v>
      </c>
      <c r="B278" s="38"/>
      <c r="C278" s="88" t="s">
        <v>819</v>
      </c>
      <c r="D278" s="89" t="s">
        <v>30</v>
      </c>
      <c r="E278" s="92">
        <v>99</v>
      </c>
      <c r="F278" s="91">
        <v>1262500</v>
      </c>
      <c r="G278" s="39">
        <f t="shared" si="4"/>
        <v>124987500</v>
      </c>
      <c r="H278" s="16"/>
    </row>
    <row r="279" spans="1:8" s="31" customFormat="1" x14ac:dyDescent="0.45">
      <c r="A279" s="37" t="s">
        <v>271</v>
      </c>
      <c r="B279" s="38"/>
      <c r="C279" s="88" t="s">
        <v>818</v>
      </c>
      <c r="D279" s="89" t="s">
        <v>30</v>
      </c>
      <c r="E279" s="92">
        <v>30</v>
      </c>
      <c r="F279" s="91">
        <v>1457143</v>
      </c>
      <c r="G279" s="39">
        <f t="shared" si="4"/>
        <v>43714290</v>
      </c>
      <c r="H279" s="16"/>
    </row>
    <row r="280" spans="1:8" s="31" customFormat="1" x14ac:dyDescent="0.45">
      <c r="A280" s="37" t="s">
        <v>272</v>
      </c>
      <c r="B280" s="38"/>
      <c r="C280" s="88" t="s">
        <v>817</v>
      </c>
      <c r="D280" s="89" t="s">
        <v>30</v>
      </c>
      <c r="E280" s="92">
        <v>20</v>
      </c>
      <c r="F280" s="91">
        <v>1486607</v>
      </c>
      <c r="G280" s="39">
        <f t="shared" si="4"/>
        <v>29732140</v>
      </c>
      <c r="H280" s="16"/>
    </row>
    <row r="281" spans="1:8" s="31" customFormat="1" x14ac:dyDescent="0.45">
      <c r="A281" s="37" t="s">
        <v>273</v>
      </c>
      <c r="B281" s="38"/>
      <c r="C281" s="88" t="s">
        <v>815</v>
      </c>
      <c r="D281" s="89" t="s">
        <v>14</v>
      </c>
      <c r="E281" s="90">
        <v>0.112</v>
      </c>
      <c r="F281" s="91">
        <v>8750000</v>
      </c>
      <c r="G281" s="39">
        <f t="shared" si="4"/>
        <v>980000</v>
      </c>
      <c r="H281" s="16"/>
    </row>
    <row r="282" spans="1:8" s="31" customFormat="1" ht="23.25" x14ac:dyDescent="0.45">
      <c r="A282" s="37" t="s">
        <v>274</v>
      </c>
      <c r="B282" s="38"/>
      <c r="C282" s="88" t="s">
        <v>559</v>
      </c>
      <c r="D282" s="89" t="s">
        <v>14</v>
      </c>
      <c r="E282" s="90">
        <v>11.452999999999999</v>
      </c>
      <c r="F282" s="91">
        <v>6763607</v>
      </c>
      <c r="G282" s="39">
        <f t="shared" si="4"/>
        <v>77463590.971000001</v>
      </c>
      <c r="H282" s="16"/>
    </row>
    <row r="283" spans="1:8" s="31" customFormat="1" x14ac:dyDescent="0.45">
      <c r="A283" s="37" t="s">
        <v>275</v>
      </c>
      <c r="B283" s="38"/>
      <c r="C283" s="88" t="s">
        <v>535</v>
      </c>
      <c r="D283" s="89" t="s">
        <v>30</v>
      </c>
      <c r="E283" s="92">
        <v>65</v>
      </c>
      <c r="F283" s="91">
        <v>242847</v>
      </c>
      <c r="G283" s="39">
        <f t="shared" si="4"/>
        <v>15785055</v>
      </c>
      <c r="H283" s="16"/>
    </row>
    <row r="284" spans="1:8" s="31" customFormat="1" x14ac:dyDescent="0.45">
      <c r="A284" s="37" t="s">
        <v>276</v>
      </c>
      <c r="B284" s="38"/>
      <c r="C284" s="88" t="s">
        <v>532</v>
      </c>
      <c r="D284" s="89" t="s">
        <v>30</v>
      </c>
      <c r="E284" s="92">
        <v>57</v>
      </c>
      <c r="F284" s="91">
        <v>121423</v>
      </c>
      <c r="G284" s="39">
        <f t="shared" si="4"/>
        <v>6921111</v>
      </c>
      <c r="H284" s="16"/>
    </row>
    <row r="285" spans="1:8" s="31" customFormat="1" x14ac:dyDescent="0.45">
      <c r="A285" s="37" t="s">
        <v>277</v>
      </c>
      <c r="B285" s="38"/>
      <c r="C285" s="88" t="s">
        <v>529</v>
      </c>
      <c r="D285" s="89" t="s">
        <v>30</v>
      </c>
      <c r="E285" s="92">
        <v>134</v>
      </c>
      <c r="F285" s="91">
        <v>95406</v>
      </c>
      <c r="G285" s="39">
        <f t="shared" si="4"/>
        <v>12784404</v>
      </c>
      <c r="H285" s="16"/>
    </row>
    <row r="286" spans="1:8" s="31" customFormat="1" ht="23.25" x14ac:dyDescent="0.45">
      <c r="A286" s="37" t="s">
        <v>278</v>
      </c>
      <c r="B286" s="38"/>
      <c r="C286" s="88" t="s">
        <v>522</v>
      </c>
      <c r="D286" s="89" t="s">
        <v>14</v>
      </c>
      <c r="E286" s="90">
        <v>0.27560000000000001</v>
      </c>
      <c r="F286" s="91">
        <v>7142858</v>
      </c>
      <c r="G286" s="39">
        <f t="shared" si="4"/>
        <v>1968571.6648000001</v>
      </c>
      <c r="H286" s="16"/>
    </row>
    <row r="287" spans="1:8" s="31" customFormat="1" ht="23.25" x14ac:dyDescent="0.45">
      <c r="A287" s="37" t="s">
        <v>279</v>
      </c>
      <c r="B287" s="38"/>
      <c r="C287" s="88" t="s">
        <v>519</v>
      </c>
      <c r="D287" s="89" t="s">
        <v>14</v>
      </c>
      <c r="E287" s="90">
        <v>0.34849999999999998</v>
      </c>
      <c r="F287" s="91">
        <v>7394311</v>
      </c>
      <c r="G287" s="39">
        <f t="shared" si="4"/>
        <v>2576917.3835</v>
      </c>
      <c r="H287" s="16"/>
    </row>
    <row r="288" spans="1:8" s="31" customFormat="1" ht="23.25" x14ac:dyDescent="0.45">
      <c r="A288" s="37" t="s">
        <v>280</v>
      </c>
      <c r="B288" s="38"/>
      <c r="C288" s="88" t="s">
        <v>789</v>
      </c>
      <c r="D288" s="89" t="s">
        <v>14</v>
      </c>
      <c r="E288" s="90">
        <v>0.19650000000000001</v>
      </c>
      <c r="F288" s="91">
        <v>6557958</v>
      </c>
      <c r="G288" s="39">
        <f t="shared" si="4"/>
        <v>1288638.747</v>
      </c>
      <c r="H288" s="16"/>
    </row>
    <row r="289" spans="1:8" s="50" customFormat="1" ht="23.25" x14ac:dyDescent="0.45">
      <c r="A289" s="37" t="s">
        <v>281</v>
      </c>
      <c r="B289" s="38"/>
      <c r="C289" s="88" t="s">
        <v>552</v>
      </c>
      <c r="D289" s="89" t="s">
        <v>14</v>
      </c>
      <c r="E289" s="90">
        <v>2.544</v>
      </c>
      <c r="F289" s="91">
        <v>7793177</v>
      </c>
      <c r="G289" s="39">
        <f t="shared" si="4"/>
        <v>19825842.287999999</v>
      </c>
      <c r="H289" s="16"/>
    </row>
    <row r="290" spans="1:8" s="50" customFormat="1" ht="23.25" x14ac:dyDescent="0.45">
      <c r="A290" s="37" t="s">
        <v>282</v>
      </c>
      <c r="B290" s="38"/>
      <c r="C290" s="88" t="s">
        <v>521</v>
      </c>
      <c r="D290" s="89" t="s">
        <v>14</v>
      </c>
      <c r="E290" s="90">
        <v>1.893</v>
      </c>
      <c r="F290" s="91">
        <v>6763607</v>
      </c>
      <c r="G290" s="39">
        <f t="shared" si="4"/>
        <v>12803508.051000001</v>
      </c>
      <c r="H290" s="16"/>
    </row>
    <row r="291" spans="1:8" s="50" customFormat="1" ht="23.25" x14ac:dyDescent="0.45">
      <c r="A291" s="37" t="s">
        <v>283</v>
      </c>
      <c r="B291" s="38"/>
      <c r="C291" s="88" t="s">
        <v>811</v>
      </c>
      <c r="D291" s="89" t="s">
        <v>14</v>
      </c>
      <c r="E291" s="90">
        <v>3.871</v>
      </c>
      <c r="F291" s="91">
        <v>7343750</v>
      </c>
      <c r="G291" s="39">
        <f t="shared" si="4"/>
        <v>28427656.25</v>
      </c>
      <c r="H291" s="16"/>
    </row>
    <row r="292" spans="1:8" s="50" customFormat="1" ht="23.25" x14ac:dyDescent="0.45">
      <c r="A292" s="37" t="s">
        <v>284</v>
      </c>
      <c r="B292" s="38"/>
      <c r="C292" s="88" t="s">
        <v>553</v>
      </c>
      <c r="D292" s="89" t="s">
        <v>14</v>
      </c>
      <c r="E292" s="90">
        <v>11.98</v>
      </c>
      <c r="F292" s="91">
        <v>6557958</v>
      </c>
      <c r="G292" s="39">
        <f t="shared" si="4"/>
        <v>78564336.840000004</v>
      </c>
      <c r="H292" s="16"/>
    </row>
    <row r="293" spans="1:8" s="50" customFormat="1" ht="23.25" x14ac:dyDescent="0.45">
      <c r="A293" s="37" t="s">
        <v>285</v>
      </c>
      <c r="B293" s="38"/>
      <c r="C293" s="88" t="s">
        <v>554</v>
      </c>
      <c r="D293" s="89" t="s">
        <v>14</v>
      </c>
      <c r="E293" s="90">
        <v>9.0792999999999999</v>
      </c>
      <c r="F293" s="91">
        <v>6763607</v>
      </c>
      <c r="G293" s="39">
        <f t="shared" si="4"/>
        <v>61408817.035099998</v>
      </c>
      <c r="H293" s="16"/>
    </row>
    <row r="294" spans="1:8" s="28" customFormat="1" x14ac:dyDescent="0.45">
      <c r="A294" s="37"/>
      <c r="B294" s="45"/>
      <c r="C294" s="46" t="s">
        <v>70</v>
      </c>
      <c r="D294" s="45"/>
      <c r="E294" s="47"/>
      <c r="F294" s="47"/>
      <c r="G294" s="39">
        <f>SUM(G71:G293)</f>
        <v>7474916909.5601339</v>
      </c>
      <c r="H294" s="16"/>
    </row>
    <row r="295" spans="1:8" s="28" customFormat="1" x14ac:dyDescent="0.45">
      <c r="A295" s="37"/>
      <c r="B295" s="45"/>
      <c r="C295" s="46" t="s">
        <v>471</v>
      </c>
      <c r="D295" s="45"/>
      <c r="E295" s="47"/>
      <c r="F295" s="47"/>
      <c r="G295" s="39">
        <f>G294*0.05</f>
        <v>373745845.47800672</v>
      </c>
      <c r="H295" s="16"/>
    </row>
    <row r="296" spans="1:8" s="28" customFormat="1" x14ac:dyDescent="0.45">
      <c r="A296" s="40"/>
      <c r="B296" s="103" t="s">
        <v>68</v>
      </c>
      <c r="C296" s="103"/>
      <c r="D296" s="40" t="s">
        <v>62</v>
      </c>
      <c r="E296" s="41"/>
      <c r="F296" s="41"/>
      <c r="G296" s="42">
        <f>SUM(G294:G295)</f>
        <v>7848662755.0381403</v>
      </c>
      <c r="H296" s="16"/>
    </row>
    <row r="297" spans="1:8" s="28" customFormat="1" x14ac:dyDescent="0.45">
      <c r="A297" s="40"/>
      <c r="B297" s="103" t="s">
        <v>69</v>
      </c>
      <c r="C297" s="103"/>
      <c r="D297" s="40" t="s">
        <v>62</v>
      </c>
      <c r="E297" s="41"/>
      <c r="F297" s="41"/>
      <c r="G297" s="42">
        <f>G296+G69+G14</f>
        <v>11185647306.522772</v>
      </c>
      <c r="H297" s="16"/>
    </row>
    <row r="298" spans="1:8" s="1" customFormat="1" x14ac:dyDescent="0.45">
      <c r="A298" s="16"/>
      <c r="B298" s="16"/>
      <c r="C298" s="16"/>
      <c r="D298" s="19"/>
      <c r="E298" s="16"/>
      <c r="F298" s="99" t="s">
        <v>2</v>
      </c>
      <c r="G298" s="99"/>
      <c r="H298" s="16"/>
    </row>
  </sheetData>
  <autoFilter ref="A1:G299" xr:uid="{0E7F1A75-A523-410F-AC1D-24EB48A47DC7}"/>
  <mergeCells count="17">
    <mergeCell ref="B2:G2"/>
    <mergeCell ref="B3:G3"/>
    <mergeCell ref="B6:G6"/>
    <mergeCell ref="F298:G298"/>
    <mergeCell ref="C5:F5"/>
    <mergeCell ref="C7:E7"/>
    <mergeCell ref="F8:G8"/>
    <mergeCell ref="F9:G9"/>
    <mergeCell ref="B14:C14"/>
    <mergeCell ref="B69:C69"/>
    <mergeCell ref="B296:C296"/>
    <mergeCell ref="B297:C297"/>
    <mergeCell ref="A8:A10"/>
    <mergeCell ref="B8:B10"/>
    <mergeCell ref="C8:C10"/>
    <mergeCell ref="D8:D10"/>
    <mergeCell ref="E8:E10"/>
  </mergeCells>
  <phoneticPr fontId="10" type="noConversion"/>
  <printOptions horizontalCentered="1"/>
  <pageMargins left="0.39370078740157483" right="0.19685039370078741" top="0.39370078740157483" bottom="0.39370078740157483" header="0.39370078740157483" footer="0.39370078740157483"/>
  <pageSetup paperSize="9" scale="70" fitToHeight="1000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A74A-B81B-41B0-B88F-06DF3EA2A4DF}">
  <sheetPr>
    <pageSetUpPr fitToPage="1"/>
  </sheetPr>
  <dimension ref="A1:F1905"/>
  <sheetViews>
    <sheetView showGridLines="0" view="pageBreakPreview" zoomScaleNormal="100" zoomScaleSheetLayoutView="100" workbookViewId="0">
      <selection activeCell="C9" sqref="C9:C10"/>
    </sheetView>
  </sheetViews>
  <sheetFormatPr defaultRowHeight="13.15" x14ac:dyDescent="0.4"/>
  <cols>
    <col min="1" max="1" width="5.3984375" style="12" customWidth="1"/>
    <col min="2" max="2" width="13.59765625" style="12" customWidth="1"/>
    <col min="3" max="3" width="82.86328125" style="12" customWidth="1"/>
    <col min="4" max="6" width="10.1328125" style="12" customWidth="1"/>
    <col min="7" max="255" width="9.1328125" style="12"/>
    <col min="256" max="256" width="5.3984375" style="12" customWidth="1"/>
    <col min="257" max="257" width="13.59765625" style="12" customWidth="1"/>
    <col min="258" max="258" width="82.86328125" style="12" customWidth="1"/>
    <col min="259" max="261" width="10.1328125" style="12" customWidth="1"/>
    <col min="262" max="511" width="9.1328125" style="12"/>
    <col min="512" max="512" width="5.3984375" style="12" customWidth="1"/>
    <col min="513" max="513" width="13.59765625" style="12" customWidth="1"/>
    <col min="514" max="514" width="82.86328125" style="12" customWidth="1"/>
    <col min="515" max="517" width="10.1328125" style="12" customWidth="1"/>
    <col min="518" max="767" width="9.1328125" style="12"/>
    <col min="768" max="768" width="5.3984375" style="12" customWidth="1"/>
    <col min="769" max="769" width="13.59765625" style="12" customWidth="1"/>
    <col min="770" max="770" width="82.86328125" style="12" customWidth="1"/>
    <col min="771" max="773" width="10.1328125" style="12" customWidth="1"/>
    <col min="774" max="1023" width="9.1328125" style="12"/>
    <col min="1024" max="1024" width="5.3984375" style="12" customWidth="1"/>
    <col min="1025" max="1025" width="13.59765625" style="12" customWidth="1"/>
    <col min="1026" max="1026" width="82.86328125" style="12" customWidth="1"/>
    <col min="1027" max="1029" width="10.1328125" style="12" customWidth="1"/>
    <col min="1030" max="1279" width="9.1328125" style="12"/>
    <col min="1280" max="1280" width="5.3984375" style="12" customWidth="1"/>
    <col min="1281" max="1281" width="13.59765625" style="12" customWidth="1"/>
    <col min="1282" max="1282" width="82.86328125" style="12" customWidth="1"/>
    <col min="1283" max="1285" width="10.1328125" style="12" customWidth="1"/>
    <col min="1286" max="1535" width="9.1328125" style="12"/>
    <col min="1536" max="1536" width="5.3984375" style="12" customWidth="1"/>
    <col min="1537" max="1537" width="13.59765625" style="12" customWidth="1"/>
    <col min="1538" max="1538" width="82.86328125" style="12" customWidth="1"/>
    <col min="1539" max="1541" width="10.1328125" style="12" customWidth="1"/>
    <col min="1542" max="1791" width="9.1328125" style="12"/>
    <col min="1792" max="1792" width="5.3984375" style="12" customWidth="1"/>
    <col min="1793" max="1793" width="13.59765625" style="12" customWidth="1"/>
    <col min="1794" max="1794" width="82.86328125" style="12" customWidth="1"/>
    <col min="1795" max="1797" width="10.1328125" style="12" customWidth="1"/>
    <col min="1798" max="2047" width="9.1328125" style="12"/>
    <col min="2048" max="2048" width="5.3984375" style="12" customWidth="1"/>
    <col min="2049" max="2049" width="13.59765625" style="12" customWidth="1"/>
    <col min="2050" max="2050" width="82.86328125" style="12" customWidth="1"/>
    <col min="2051" max="2053" width="10.1328125" style="12" customWidth="1"/>
    <col min="2054" max="2303" width="9.1328125" style="12"/>
    <col min="2304" max="2304" width="5.3984375" style="12" customWidth="1"/>
    <col min="2305" max="2305" width="13.59765625" style="12" customWidth="1"/>
    <col min="2306" max="2306" width="82.86328125" style="12" customWidth="1"/>
    <col min="2307" max="2309" width="10.1328125" style="12" customWidth="1"/>
    <col min="2310" max="2559" width="9.1328125" style="12"/>
    <col min="2560" max="2560" width="5.3984375" style="12" customWidth="1"/>
    <col min="2561" max="2561" width="13.59765625" style="12" customWidth="1"/>
    <col min="2562" max="2562" width="82.86328125" style="12" customWidth="1"/>
    <col min="2563" max="2565" width="10.1328125" style="12" customWidth="1"/>
    <col min="2566" max="2815" width="9.1328125" style="12"/>
    <col min="2816" max="2816" width="5.3984375" style="12" customWidth="1"/>
    <col min="2817" max="2817" width="13.59765625" style="12" customWidth="1"/>
    <col min="2818" max="2818" width="82.86328125" style="12" customWidth="1"/>
    <col min="2819" max="2821" width="10.1328125" style="12" customWidth="1"/>
    <col min="2822" max="3071" width="9.1328125" style="12"/>
    <col min="3072" max="3072" width="5.3984375" style="12" customWidth="1"/>
    <col min="3073" max="3073" width="13.59765625" style="12" customWidth="1"/>
    <col min="3074" max="3074" width="82.86328125" style="12" customWidth="1"/>
    <col min="3075" max="3077" width="10.1328125" style="12" customWidth="1"/>
    <col min="3078" max="3327" width="9.1328125" style="12"/>
    <col min="3328" max="3328" width="5.3984375" style="12" customWidth="1"/>
    <col min="3329" max="3329" width="13.59765625" style="12" customWidth="1"/>
    <col min="3330" max="3330" width="82.86328125" style="12" customWidth="1"/>
    <col min="3331" max="3333" width="10.1328125" style="12" customWidth="1"/>
    <col min="3334" max="3583" width="9.1328125" style="12"/>
    <col min="3584" max="3584" width="5.3984375" style="12" customWidth="1"/>
    <col min="3585" max="3585" width="13.59765625" style="12" customWidth="1"/>
    <col min="3586" max="3586" width="82.86328125" style="12" customWidth="1"/>
    <col min="3587" max="3589" width="10.1328125" style="12" customWidth="1"/>
    <col min="3590" max="3839" width="9.1328125" style="12"/>
    <col min="3840" max="3840" width="5.3984375" style="12" customWidth="1"/>
    <col min="3841" max="3841" width="13.59765625" style="12" customWidth="1"/>
    <col min="3842" max="3842" width="82.86328125" style="12" customWidth="1"/>
    <col min="3843" max="3845" width="10.1328125" style="12" customWidth="1"/>
    <col min="3846" max="4095" width="9.1328125" style="12"/>
    <col min="4096" max="4096" width="5.3984375" style="12" customWidth="1"/>
    <col min="4097" max="4097" width="13.59765625" style="12" customWidth="1"/>
    <col min="4098" max="4098" width="82.86328125" style="12" customWidth="1"/>
    <col min="4099" max="4101" width="10.1328125" style="12" customWidth="1"/>
    <col min="4102" max="4351" width="9.1328125" style="12"/>
    <col min="4352" max="4352" width="5.3984375" style="12" customWidth="1"/>
    <col min="4353" max="4353" width="13.59765625" style="12" customWidth="1"/>
    <col min="4354" max="4354" width="82.86328125" style="12" customWidth="1"/>
    <col min="4355" max="4357" width="10.1328125" style="12" customWidth="1"/>
    <col min="4358" max="4607" width="9.1328125" style="12"/>
    <col min="4608" max="4608" width="5.3984375" style="12" customWidth="1"/>
    <col min="4609" max="4609" width="13.59765625" style="12" customWidth="1"/>
    <col min="4610" max="4610" width="82.86328125" style="12" customWidth="1"/>
    <col min="4611" max="4613" width="10.1328125" style="12" customWidth="1"/>
    <col min="4614" max="4863" width="9.1328125" style="12"/>
    <col min="4864" max="4864" width="5.3984375" style="12" customWidth="1"/>
    <col min="4865" max="4865" width="13.59765625" style="12" customWidth="1"/>
    <col min="4866" max="4866" width="82.86328125" style="12" customWidth="1"/>
    <col min="4867" max="4869" width="10.1328125" style="12" customWidth="1"/>
    <col min="4870" max="5119" width="9.1328125" style="12"/>
    <col min="5120" max="5120" width="5.3984375" style="12" customWidth="1"/>
    <col min="5121" max="5121" width="13.59765625" style="12" customWidth="1"/>
    <col min="5122" max="5122" width="82.86328125" style="12" customWidth="1"/>
    <col min="5123" max="5125" width="10.1328125" style="12" customWidth="1"/>
    <col min="5126" max="5375" width="9.1328125" style="12"/>
    <col min="5376" max="5376" width="5.3984375" style="12" customWidth="1"/>
    <col min="5377" max="5377" width="13.59765625" style="12" customWidth="1"/>
    <col min="5378" max="5378" width="82.86328125" style="12" customWidth="1"/>
    <col min="5379" max="5381" width="10.1328125" style="12" customWidth="1"/>
    <col min="5382" max="5631" width="9.1328125" style="12"/>
    <col min="5632" max="5632" width="5.3984375" style="12" customWidth="1"/>
    <col min="5633" max="5633" width="13.59765625" style="12" customWidth="1"/>
    <col min="5634" max="5634" width="82.86328125" style="12" customWidth="1"/>
    <col min="5635" max="5637" width="10.1328125" style="12" customWidth="1"/>
    <col min="5638" max="5887" width="9.1328125" style="12"/>
    <col min="5888" max="5888" width="5.3984375" style="12" customWidth="1"/>
    <col min="5889" max="5889" width="13.59765625" style="12" customWidth="1"/>
    <col min="5890" max="5890" width="82.86328125" style="12" customWidth="1"/>
    <col min="5891" max="5893" width="10.1328125" style="12" customWidth="1"/>
    <col min="5894" max="6143" width="9.1328125" style="12"/>
    <col min="6144" max="6144" width="5.3984375" style="12" customWidth="1"/>
    <col min="6145" max="6145" width="13.59765625" style="12" customWidth="1"/>
    <col min="6146" max="6146" width="82.86328125" style="12" customWidth="1"/>
    <col min="6147" max="6149" width="10.1328125" style="12" customWidth="1"/>
    <col min="6150" max="6399" width="9.1328125" style="12"/>
    <col min="6400" max="6400" width="5.3984375" style="12" customWidth="1"/>
    <col min="6401" max="6401" width="13.59765625" style="12" customWidth="1"/>
    <col min="6402" max="6402" width="82.86328125" style="12" customWidth="1"/>
    <col min="6403" max="6405" width="10.1328125" style="12" customWidth="1"/>
    <col min="6406" max="6655" width="9.1328125" style="12"/>
    <col min="6656" max="6656" width="5.3984375" style="12" customWidth="1"/>
    <col min="6657" max="6657" width="13.59765625" style="12" customWidth="1"/>
    <col min="6658" max="6658" width="82.86328125" style="12" customWidth="1"/>
    <col min="6659" max="6661" width="10.1328125" style="12" customWidth="1"/>
    <col min="6662" max="6911" width="9.1328125" style="12"/>
    <col min="6912" max="6912" width="5.3984375" style="12" customWidth="1"/>
    <col min="6913" max="6913" width="13.59765625" style="12" customWidth="1"/>
    <col min="6914" max="6914" width="82.86328125" style="12" customWidth="1"/>
    <col min="6915" max="6917" width="10.1328125" style="12" customWidth="1"/>
    <col min="6918" max="7167" width="9.1328125" style="12"/>
    <col min="7168" max="7168" width="5.3984375" style="12" customWidth="1"/>
    <col min="7169" max="7169" width="13.59765625" style="12" customWidth="1"/>
    <col min="7170" max="7170" width="82.86328125" style="12" customWidth="1"/>
    <col min="7171" max="7173" width="10.1328125" style="12" customWidth="1"/>
    <col min="7174" max="7423" width="9.1328125" style="12"/>
    <col min="7424" max="7424" width="5.3984375" style="12" customWidth="1"/>
    <col min="7425" max="7425" width="13.59765625" style="12" customWidth="1"/>
    <col min="7426" max="7426" width="82.86328125" style="12" customWidth="1"/>
    <col min="7427" max="7429" width="10.1328125" style="12" customWidth="1"/>
    <col min="7430" max="7679" width="9.1328125" style="12"/>
    <col min="7680" max="7680" width="5.3984375" style="12" customWidth="1"/>
    <col min="7681" max="7681" width="13.59765625" style="12" customWidth="1"/>
    <col min="7682" max="7682" width="82.86328125" style="12" customWidth="1"/>
    <col min="7683" max="7685" width="10.1328125" style="12" customWidth="1"/>
    <col min="7686" max="7935" width="9.1328125" style="12"/>
    <col min="7936" max="7936" width="5.3984375" style="12" customWidth="1"/>
    <col min="7937" max="7937" width="13.59765625" style="12" customWidth="1"/>
    <col min="7938" max="7938" width="82.86328125" style="12" customWidth="1"/>
    <col min="7939" max="7941" width="10.1328125" style="12" customWidth="1"/>
    <col min="7942" max="8191" width="9.1328125" style="12"/>
    <col min="8192" max="8192" width="5.3984375" style="12" customWidth="1"/>
    <col min="8193" max="8193" width="13.59765625" style="12" customWidth="1"/>
    <col min="8194" max="8194" width="82.86328125" style="12" customWidth="1"/>
    <col min="8195" max="8197" width="10.1328125" style="12" customWidth="1"/>
    <col min="8198" max="8447" width="9.1328125" style="12"/>
    <col min="8448" max="8448" width="5.3984375" style="12" customWidth="1"/>
    <col min="8449" max="8449" width="13.59765625" style="12" customWidth="1"/>
    <col min="8450" max="8450" width="82.86328125" style="12" customWidth="1"/>
    <col min="8451" max="8453" width="10.1328125" style="12" customWidth="1"/>
    <col min="8454" max="8703" width="9.1328125" style="12"/>
    <col min="8704" max="8704" width="5.3984375" style="12" customWidth="1"/>
    <col min="8705" max="8705" width="13.59765625" style="12" customWidth="1"/>
    <col min="8706" max="8706" width="82.86328125" style="12" customWidth="1"/>
    <col min="8707" max="8709" width="10.1328125" style="12" customWidth="1"/>
    <col min="8710" max="8959" width="9.1328125" style="12"/>
    <col min="8960" max="8960" width="5.3984375" style="12" customWidth="1"/>
    <col min="8961" max="8961" width="13.59765625" style="12" customWidth="1"/>
    <col min="8962" max="8962" width="82.86328125" style="12" customWidth="1"/>
    <col min="8963" max="8965" width="10.1328125" style="12" customWidth="1"/>
    <col min="8966" max="9215" width="9.1328125" style="12"/>
    <col min="9216" max="9216" width="5.3984375" style="12" customWidth="1"/>
    <col min="9217" max="9217" width="13.59765625" style="12" customWidth="1"/>
    <col min="9218" max="9218" width="82.86328125" style="12" customWidth="1"/>
    <col min="9219" max="9221" width="10.1328125" style="12" customWidth="1"/>
    <col min="9222" max="9471" width="9.1328125" style="12"/>
    <col min="9472" max="9472" width="5.3984375" style="12" customWidth="1"/>
    <col min="9473" max="9473" width="13.59765625" style="12" customWidth="1"/>
    <col min="9474" max="9474" width="82.86328125" style="12" customWidth="1"/>
    <col min="9475" max="9477" width="10.1328125" style="12" customWidth="1"/>
    <col min="9478" max="9727" width="9.1328125" style="12"/>
    <col min="9728" max="9728" width="5.3984375" style="12" customWidth="1"/>
    <col min="9729" max="9729" width="13.59765625" style="12" customWidth="1"/>
    <col min="9730" max="9730" width="82.86328125" style="12" customWidth="1"/>
    <col min="9731" max="9733" width="10.1328125" style="12" customWidth="1"/>
    <col min="9734" max="9983" width="9.1328125" style="12"/>
    <col min="9984" max="9984" width="5.3984375" style="12" customWidth="1"/>
    <col min="9985" max="9985" width="13.59765625" style="12" customWidth="1"/>
    <col min="9986" max="9986" width="82.86328125" style="12" customWidth="1"/>
    <col min="9987" max="9989" width="10.1328125" style="12" customWidth="1"/>
    <col min="9990" max="10239" width="9.1328125" style="12"/>
    <col min="10240" max="10240" width="5.3984375" style="12" customWidth="1"/>
    <col min="10241" max="10241" width="13.59765625" style="12" customWidth="1"/>
    <col min="10242" max="10242" width="82.86328125" style="12" customWidth="1"/>
    <col min="10243" max="10245" width="10.1328125" style="12" customWidth="1"/>
    <col min="10246" max="10495" width="9.1328125" style="12"/>
    <col min="10496" max="10496" width="5.3984375" style="12" customWidth="1"/>
    <col min="10497" max="10497" width="13.59765625" style="12" customWidth="1"/>
    <col min="10498" max="10498" width="82.86328125" style="12" customWidth="1"/>
    <col min="10499" max="10501" width="10.1328125" style="12" customWidth="1"/>
    <col min="10502" max="10751" width="9.1328125" style="12"/>
    <col min="10752" max="10752" width="5.3984375" style="12" customWidth="1"/>
    <col min="10753" max="10753" width="13.59765625" style="12" customWidth="1"/>
    <col min="10754" max="10754" width="82.86328125" style="12" customWidth="1"/>
    <col min="10755" max="10757" width="10.1328125" style="12" customWidth="1"/>
    <col min="10758" max="11007" width="9.1328125" style="12"/>
    <col min="11008" max="11008" width="5.3984375" style="12" customWidth="1"/>
    <col min="11009" max="11009" width="13.59765625" style="12" customWidth="1"/>
    <col min="11010" max="11010" width="82.86328125" style="12" customWidth="1"/>
    <col min="11011" max="11013" width="10.1328125" style="12" customWidth="1"/>
    <col min="11014" max="11263" width="9.1328125" style="12"/>
    <col min="11264" max="11264" width="5.3984375" style="12" customWidth="1"/>
    <col min="11265" max="11265" width="13.59765625" style="12" customWidth="1"/>
    <col min="11266" max="11266" width="82.86328125" style="12" customWidth="1"/>
    <col min="11267" max="11269" width="10.1328125" style="12" customWidth="1"/>
    <col min="11270" max="11519" width="9.1328125" style="12"/>
    <col min="11520" max="11520" width="5.3984375" style="12" customWidth="1"/>
    <col min="11521" max="11521" width="13.59765625" style="12" customWidth="1"/>
    <col min="11522" max="11522" width="82.86328125" style="12" customWidth="1"/>
    <col min="11523" max="11525" width="10.1328125" style="12" customWidth="1"/>
    <col min="11526" max="11775" width="9.1328125" style="12"/>
    <col min="11776" max="11776" width="5.3984375" style="12" customWidth="1"/>
    <col min="11777" max="11777" width="13.59765625" style="12" customWidth="1"/>
    <col min="11778" max="11778" width="82.86328125" style="12" customWidth="1"/>
    <col min="11779" max="11781" width="10.1328125" style="12" customWidth="1"/>
    <col min="11782" max="12031" width="9.1328125" style="12"/>
    <col min="12032" max="12032" width="5.3984375" style="12" customWidth="1"/>
    <col min="12033" max="12033" width="13.59765625" style="12" customWidth="1"/>
    <col min="12034" max="12034" width="82.86328125" style="12" customWidth="1"/>
    <col min="12035" max="12037" width="10.1328125" style="12" customWidth="1"/>
    <col min="12038" max="12287" width="9.1328125" style="12"/>
    <col min="12288" max="12288" width="5.3984375" style="12" customWidth="1"/>
    <col min="12289" max="12289" width="13.59765625" style="12" customWidth="1"/>
    <col min="12290" max="12290" width="82.86328125" style="12" customWidth="1"/>
    <col min="12291" max="12293" width="10.1328125" style="12" customWidth="1"/>
    <col min="12294" max="12543" width="9.1328125" style="12"/>
    <col min="12544" max="12544" width="5.3984375" style="12" customWidth="1"/>
    <col min="12545" max="12545" width="13.59765625" style="12" customWidth="1"/>
    <col min="12546" max="12546" width="82.86328125" style="12" customWidth="1"/>
    <col min="12547" max="12549" width="10.1328125" style="12" customWidth="1"/>
    <col min="12550" max="12799" width="9.1328125" style="12"/>
    <col min="12800" max="12800" width="5.3984375" style="12" customWidth="1"/>
    <col min="12801" max="12801" width="13.59765625" style="12" customWidth="1"/>
    <col min="12802" max="12802" width="82.86328125" style="12" customWidth="1"/>
    <col min="12803" max="12805" width="10.1328125" style="12" customWidth="1"/>
    <col min="12806" max="13055" width="9.1328125" style="12"/>
    <col min="13056" max="13056" width="5.3984375" style="12" customWidth="1"/>
    <col min="13057" max="13057" width="13.59765625" style="12" customWidth="1"/>
    <col min="13058" max="13058" width="82.86328125" style="12" customWidth="1"/>
    <col min="13059" max="13061" width="10.1328125" style="12" customWidth="1"/>
    <col min="13062" max="13311" width="9.1328125" style="12"/>
    <col min="13312" max="13312" width="5.3984375" style="12" customWidth="1"/>
    <col min="13313" max="13313" width="13.59765625" style="12" customWidth="1"/>
    <col min="13314" max="13314" width="82.86328125" style="12" customWidth="1"/>
    <col min="13315" max="13317" width="10.1328125" style="12" customWidth="1"/>
    <col min="13318" max="13567" width="9.1328125" style="12"/>
    <col min="13568" max="13568" width="5.3984375" style="12" customWidth="1"/>
    <col min="13569" max="13569" width="13.59765625" style="12" customWidth="1"/>
    <col min="13570" max="13570" width="82.86328125" style="12" customWidth="1"/>
    <col min="13571" max="13573" width="10.1328125" style="12" customWidth="1"/>
    <col min="13574" max="13823" width="9.1328125" style="12"/>
    <col min="13824" max="13824" width="5.3984375" style="12" customWidth="1"/>
    <col min="13825" max="13825" width="13.59765625" style="12" customWidth="1"/>
    <col min="13826" max="13826" width="82.86328125" style="12" customWidth="1"/>
    <col min="13827" max="13829" width="10.1328125" style="12" customWidth="1"/>
    <col min="13830" max="14079" width="9.1328125" style="12"/>
    <col min="14080" max="14080" width="5.3984375" style="12" customWidth="1"/>
    <col min="14081" max="14081" width="13.59765625" style="12" customWidth="1"/>
    <col min="14082" max="14082" width="82.86328125" style="12" customWidth="1"/>
    <col min="14083" max="14085" width="10.1328125" style="12" customWidth="1"/>
    <col min="14086" max="14335" width="9.1328125" style="12"/>
    <col min="14336" max="14336" width="5.3984375" style="12" customWidth="1"/>
    <col min="14337" max="14337" width="13.59765625" style="12" customWidth="1"/>
    <col min="14338" max="14338" width="82.86328125" style="12" customWidth="1"/>
    <col min="14339" max="14341" width="10.1328125" style="12" customWidth="1"/>
    <col min="14342" max="14591" width="9.1328125" style="12"/>
    <col min="14592" max="14592" width="5.3984375" style="12" customWidth="1"/>
    <col min="14593" max="14593" width="13.59765625" style="12" customWidth="1"/>
    <col min="14594" max="14594" width="82.86328125" style="12" customWidth="1"/>
    <col min="14595" max="14597" width="10.1328125" style="12" customWidth="1"/>
    <col min="14598" max="14847" width="9.1328125" style="12"/>
    <col min="14848" max="14848" width="5.3984375" style="12" customWidth="1"/>
    <col min="14849" max="14849" width="13.59765625" style="12" customWidth="1"/>
    <col min="14850" max="14850" width="82.86328125" style="12" customWidth="1"/>
    <col min="14851" max="14853" width="10.1328125" style="12" customWidth="1"/>
    <col min="14854" max="15103" width="9.1328125" style="12"/>
    <col min="15104" max="15104" width="5.3984375" style="12" customWidth="1"/>
    <col min="15105" max="15105" width="13.59765625" style="12" customWidth="1"/>
    <col min="15106" max="15106" width="82.86328125" style="12" customWidth="1"/>
    <col min="15107" max="15109" width="10.1328125" style="12" customWidth="1"/>
    <col min="15110" max="15359" width="9.1328125" style="12"/>
    <col min="15360" max="15360" width="5.3984375" style="12" customWidth="1"/>
    <col min="15361" max="15361" width="13.59765625" style="12" customWidth="1"/>
    <col min="15362" max="15362" width="82.86328125" style="12" customWidth="1"/>
    <col min="15363" max="15365" width="10.1328125" style="12" customWidth="1"/>
    <col min="15366" max="15615" width="9.1328125" style="12"/>
    <col min="15616" max="15616" width="5.3984375" style="12" customWidth="1"/>
    <col min="15617" max="15617" width="13.59765625" style="12" customWidth="1"/>
    <col min="15618" max="15618" width="82.86328125" style="12" customWidth="1"/>
    <col min="15619" max="15621" width="10.1328125" style="12" customWidth="1"/>
    <col min="15622" max="15871" width="9.1328125" style="12"/>
    <col min="15872" max="15872" width="5.3984375" style="12" customWidth="1"/>
    <col min="15873" max="15873" width="13.59765625" style="12" customWidth="1"/>
    <col min="15874" max="15874" width="82.86328125" style="12" customWidth="1"/>
    <col min="15875" max="15877" width="10.1328125" style="12" customWidth="1"/>
    <col min="15878" max="16127" width="9.1328125" style="12"/>
    <col min="16128" max="16128" width="5.3984375" style="12" customWidth="1"/>
    <col min="16129" max="16129" width="13.59765625" style="12" customWidth="1"/>
    <col min="16130" max="16130" width="82.86328125" style="12" customWidth="1"/>
    <col min="16131" max="16133" width="10.1328125" style="12" customWidth="1"/>
    <col min="16134" max="16384" width="9.1328125" style="12"/>
  </cols>
  <sheetData>
    <row r="1" spans="1:6" s="1" customFormat="1" x14ac:dyDescent="0.45">
      <c r="F1" s="2"/>
    </row>
    <row r="2" spans="1:6" s="1" customFormat="1" ht="39" customHeight="1" x14ac:dyDescent="0.45">
      <c r="B2" s="96" t="s">
        <v>987</v>
      </c>
      <c r="C2" s="96"/>
      <c r="D2" s="96"/>
      <c r="E2" s="96"/>
      <c r="F2" s="96"/>
    </row>
    <row r="3" spans="1:6" s="1" customFormat="1" x14ac:dyDescent="0.45">
      <c r="A3" s="3"/>
      <c r="B3" s="113" t="s">
        <v>0</v>
      </c>
      <c r="C3" s="113"/>
      <c r="D3" s="113"/>
      <c r="E3" s="113"/>
      <c r="F3" s="113"/>
    </row>
    <row r="4" spans="1:6" s="1" customFormat="1" x14ac:dyDescent="0.45">
      <c r="C4" s="4"/>
      <c r="D4" s="4"/>
      <c r="E4" s="4"/>
      <c r="F4" s="4"/>
    </row>
    <row r="5" spans="1:6" s="1" customFormat="1" ht="15" x14ac:dyDescent="0.45">
      <c r="A5" s="5"/>
      <c r="B5" s="5"/>
      <c r="C5" s="119" t="s">
        <v>232</v>
      </c>
      <c r="D5" s="119"/>
      <c r="E5" s="119"/>
      <c r="F5" s="14"/>
    </row>
    <row r="6" spans="1:6" s="1" customFormat="1" x14ac:dyDescent="0.45">
      <c r="A6" s="3"/>
      <c r="B6" s="114" t="s">
        <v>1</v>
      </c>
      <c r="C6" s="114"/>
      <c r="D6" s="114"/>
      <c r="E6" s="114"/>
      <c r="F6" s="114"/>
    </row>
    <row r="7" spans="1:6" s="1" customFormat="1" x14ac:dyDescent="0.45">
      <c r="D7" s="4"/>
      <c r="F7" s="6" t="s">
        <v>2</v>
      </c>
    </row>
    <row r="8" spans="1:6" s="1" customFormat="1" ht="15" x14ac:dyDescent="0.45">
      <c r="A8" s="15"/>
      <c r="B8" s="15"/>
      <c r="C8" s="13" t="s">
        <v>137</v>
      </c>
      <c r="D8" s="15"/>
      <c r="E8" s="15"/>
      <c r="F8" s="15"/>
    </row>
    <row r="9" spans="1:6" s="7" customFormat="1" ht="12.75" customHeight="1" x14ac:dyDescent="0.45">
      <c r="A9" s="115" t="s">
        <v>3</v>
      </c>
      <c r="B9" s="115" t="s">
        <v>4</v>
      </c>
      <c r="C9" s="115" t="s">
        <v>5</v>
      </c>
      <c r="D9" s="115" t="s">
        <v>6</v>
      </c>
      <c r="E9" s="117" t="s">
        <v>7</v>
      </c>
      <c r="F9" s="118"/>
    </row>
    <row r="10" spans="1:6" s="7" customFormat="1" ht="34.5" customHeight="1" x14ac:dyDescent="0.45">
      <c r="A10" s="116"/>
      <c r="B10" s="116"/>
      <c r="C10" s="116"/>
      <c r="D10" s="116"/>
      <c r="E10" s="8" t="s">
        <v>8</v>
      </c>
      <c r="F10" s="8" t="s">
        <v>9</v>
      </c>
    </row>
    <row r="11" spans="1:6" s="11" customFormat="1" x14ac:dyDescent="0.4">
      <c r="A11" s="9">
        <v>1</v>
      </c>
      <c r="B11" s="10">
        <v>2</v>
      </c>
      <c r="C11" s="10">
        <v>3</v>
      </c>
      <c r="D11" s="10">
        <v>4</v>
      </c>
      <c r="E11" s="10">
        <v>5</v>
      </c>
      <c r="F11" s="10">
        <v>6</v>
      </c>
    </row>
    <row r="12" spans="1:6" s="27" customFormat="1" x14ac:dyDescent="0.4">
      <c r="A12" s="51"/>
      <c r="B12" s="52"/>
      <c r="C12" s="110" t="s">
        <v>800</v>
      </c>
      <c r="D12" s="110"/>
      <c r="E12" s="52"/>
      <c r="F12" s="53"/>
    </row>
    <row r="13" spans="1:6" s="27" customFormat="1" x14ac:dyDescent="0.4">
      <c r="A13" s="51"/>
      <c r="B13" s="52"/>
      <c r="C13" s="110" t="s">
        <v>475</v>
      </c>
      <c r="D13" s="110"/>
      <c r="E13" s="52"/>
      <c r="F13" s="53"/>
    </row>
    <row r="14" spans="1:6" s="27" customFormat="1" ht="58.15" x14ac:dyDescent="0.4">
      <c r="A14" s="54" t="s">
        <v>10</v>
      </c>
      <c r="B14" s="55" t="s">
        <v>801</v>
      </c>
      <c r="C14" s="55" t="s">
        <v>802</v>
      </c>
      <c r="D14" s="56" t="s">
        <v>803</v>
      </c>
      <c r="E14" s="106">
        <v>25.035</v>
      </c>
      <c r="F14" s="107"/>
    </row>
    <row r="15" spans="1:6" s="27" customFormat="1" x14ac:dyDescent="0.4">
      <c r="A15" s="57"/>
      <c r="B15" s="58"/>
      <c r="C15" s="59" t="s">
        <v>11</v>
      </c>
      <c r="D15" s="58" t="s">
        <v>12</v>
      </c>
      <c r="E15" s="60">
        <v>11.99</v>
      </c>
      <c r="F15" s="60">
        <v>300.1696</v>
      </c>
    </row>
    <row r="16" spans="1:6" s="27" customFormat="1" x14ac:dyDescent="0.4">
      <c r="A16" s="61"/>
      <c r="B16" s="62"/>
      <c r="C16" s="63" t="s">
        <v>482</v>
      </c>
      <c r="D16" s="62" t="s">
        <v>13</v>
      </c>
      <c r="E16" s="64">
        <v>8.02</v>
      </c>
      <c r="F16" s="64">
        <v>200.7807</v>
      </c>
    </row>
    <row r="17" spans="1:6" s="27" customFormat="1" ht="23.25" x14ac:dyDescent="0.4">
      <c r="A17" s="65"/>
      <c r="B17" s="66"/>
      <c r="C17" s="67" t="s">
        <v>804</v>
      </c>
      <c r="D17" s="66" t="s">
        <v>13</v>
      </c>
      <c r="E17" s="68">
        <v>25.87</v>
      </c>
      <c r="F17" s="68">
        <v>647.65539999999999</v>
      </c>
    </row>
    <row r="18" spans="1:6" s="27" customFormat="1" x14ac:dyDescent="0.4">
      <c r="A18" s="69"/>
      <c r="B18" s="70"/>
      <c r="C18" s="71" t="s">
        <v>630</v>
      </c>
      <c r="D18" s="70" t="s">
        <v>23</v>
      </c>
      <c r="E18" s="72">
        <v>0.12</v>
      </c>
      <c r="F18" s="72">
        <v>3.0042</v>
      </c>
    </row>
    <row r="19" spans="1:6" s="27" customFormat="1" ht="58.15" x14ac:dyDescent="0.4">
      <c r="A19" s="54" t="s">
        <v>15</v>
      </c>
      <c r="B19" s="55" t="s">
        <v>476</v>
      </c>
      <c r="C19" s="55" t="s">
        <v>477</v>
      </c>
      <c r="D19" s="56" t="s">
        <v>478</v>
      </c>
      <c r="E19" s="111">
        <v>1</v>
      </c>
      <c r="F19" s="112"/>
    </row>
    <row r="20" spans="1:6" s="27" customFormat="1" x14ac:dyDescent="0.4">
      <c r="A20" s="57"/>
      <c r="B20" s="58"/>
      <c r="C20" s="59" t="s">
        <v>11</v>
      </c>
      <c r="D20" s="58" t="s">
        <v>12</v>
      </c>
      <c r="E20" s="60">
        <v>6.96</v>
      </c>
      <c r="F20" s="60">
        <v>6.96</v>
      </c>
    </row>
    <row r="21" spans="1:6" s="27" customFormat="1" ht="23.25" x14ac:dyDescent="0.4">
      <c r="A21" s="61"/>
      <c r="B21" s="62"/>
      <c r="C21" s="63" t="s">
        <v>479</v>
      </c>
      <c r="D21" s="62" t="s">
        <v>13</v>
      </c>
      <c r="E21" s="64">
        <v>29.39</v>
      </c>
      <c r="F21" s="64">
        <v>29.39</v>
      </c>
    </row>
    <row r="22" spans="1:6" s="27" customFormat="1" ht="46.5" x14ac:dyDescent="0.4">
      <c r="A22" s="54" t="s">
        <v>16</v>
      </c>
      <c r="B22" s="55" t="s">
        <v>805</v>
      </c>
      <c r="C22" s="55" t="s">
        <v>806</v>
      </c>
      <c r="D22" s="56" t="s">
        <v>807</v>
      </c>
      <c r="E22" s="106">
        <v>7.8105000000000002</v>
      </c>
      <c r="F22" s="107"/>
    </row>
    <row r="23" spans="1:6" s="27" customFormat="1" x14ac:dyDescent="0.4">
      <c r="A23" s="57"/>
      <c r="B23" s="58"/>
      <c r="C23" s="59" t="s">
        <v>11</v>
      </c>
      <c r="D23" s="58" t="s">
        <v>12</v>
      </c>
      <c r="E23" s="60">
        <v>184.8</v>
      </c>
      <c r="F23" s="60">
        <v>1443.3804</v>
      </c>
    </row>
    <row r="24" spans="1:6" s="27" customFormat="1" ht="34.9" x14ac:dyDescent="0.4">
      <c r="A24" s="54" t="s">
        <v>17</v>
      </c>
      <c r="B24" s="55" t="s">
        <v>489</v>
      </c>
      <c r="C24" s="55" t="s">
        <v>490</v>
      </c>
      <c r="D24" s="56" t="s">
        <v>491</v>
      </c>
      <c r="E24" s="106">
        <v>1.7810999999999999</v>
      </c>
      <c r="F24" s="107"/>
    </row>
    <row r="25" spans="1:6" s="27" customFormat="1" x14ac:dyDescent="0.4">
      <c r="A25" s="61"/>
      <c r="B25" s="62"/>
      <c r="C25" s="63" t="s">
        <v>492</v>
      </c>
      <c r="D25" s="62" t="s">
        <v>13</v>
      </c>
      <c r="E25" s="64">
        <v>1.58</v>
      </c>
      <c r="F25" s="64">
        <v>2.8140999999999998</v>
      </c>
    </row>
    <row r="26" spans="1:6" s="27" customFormat="1" x14ac:dyDescent="0.4">
      <c r="A26" s="54" t="s">
        <v>24</v>
      </c>
      <c r="B26" s="55" t="s">
        <v>493</v>
      </c>
      <c r="C26" s="55" t="s">
        <v>494</v>
      </c>
      <c r="D26" s="56" t="s">
        <v>478</v>
      </c>
      <c r="E26" s="106">
        <v>1.7810999999999999</v>
      </c>
      <c r="F26" s="107"/>
    </row>
    <row r="27" spans="1:6" s="27" customFormat="1" x14ac:dyDescent="0.4">
      <c r="A27" s="57"/>
      <c r="B27" s="58"/>
      <c r="C27" s="59" t="s">
        <v>11</v>
      </c>
      <c r="D27" s="58" t="s">
        <v>12</v>
      </c>
      <c r="E27" s="60">
        <v>13.91</v>
      </c>
      <c r="F27" s="60">
        <v>24.775099999999998</v>
      </c>
    </row>
    <row r="28" spans="1:6" s="27" customFormat="1" x14ac:dyDescent="0.4">
      <c r="A28" s="61"/>
      <c r="B28" s="62"/>
      <c r="C28" s="63" t="s">
        <v>485</v>
      </c>
      <c r="D28" s="62" t="s">
        <v>13</v>
      </c>
      <c r="E28" s="64">
        <v>13.91</v>
      </c>
      <c r="F28" s="64">
        <v>24.775099999999998</v>
      </c>
    </row>
    <row r="29" spans="1:6" s="27" customFormat="1" x14ac:dyDescent="0.4">
      <c r="A29" s="69"/>
      <c r="B29" s="70"/>
      <c r="C29" s="71" t="s">
        <v>74</v>
      </c>
      <c r="D29" s="70" t="s">
        <v>23</v>
      </c>
      <c r="E29" s="73">
        <v>100</v>
      </c>
      <c r="F29" s="72">
        <v>178.11</v>
      </c>
    </row>
    <row r="30" spans="1:6" s="27" customFormat="1" ht="34.9" x14ac:dyDescent="0.4">
      <c r="A30" s="54" t="s">
        <v>27</v>
      </c>
      <c r="B30" s="55" t="s">
        <v>808</v>
      </c>
      <c r="C30" s="55" t="s">
        <v>809</v>
      </c>
      <c r="D30" s="56" t="s">
        <v>14</v>
      </c>
      <c r="E30" s="106">
        <v>41307.800000000003</v>
      </c>
      <c r="F30" s="107"/>
    </row>
    <row r="31" spans="1:6" s="27" customFormat="1" x14ac:dyDescent="0.4">
      <c r="A31" s="61"/>
      <c r="B31" s="62"/>
      <c r="C31" s="63" t="s">
        <v>810</v>
      </c>
      <c r="D31" s="62" t="s">
        <v>13</v>
      </c>
      <c r="E31" s="64">
        <v>1.7999000000000001E-2</v>
      </c>
      <c r="F31" s="64">
        <v>743.4991</v>
      </c>
    </row>
    <row r="32" spans="1:6" s="27" customFormat="1" x14ac:dyDescent="0.4">
      <c r="A32" s="54" t="s">
        <v>28</v>
      </c>
      <c r="B32" s="55" t="s">
        <v>480</v>
      </c>
      <c r="C32" s="55" t="s">
        <v>481</v>
      </c>
      <c r="D32" s="56" t="s">
        <v>478</v>
      </c>
      <c r="E32" s="106">
        <v>19.05</v>
      </c>
      <c r="F32" s="107"/>
    </row>
    <row r="33" spans="1:6" s="27" customFormat="1" x14ac:dyDescent="0.4">
      <c r="A33" s="57"/>
      <c r="B33" s="58"/>
      <c r="C33" s="59" t="s">
        <v>11</v>
      </c>
      <c r="D33" s="58" t="s">
        <v>12</v>
      </c>
      <c r="E33" s="60">
        <v>2.02</v>
      </c>
      <c r="F33" s="60">
        <v>38.481000000000002</v>
      </c>
    </row>
    <row r="34" spans="1:6" s="27" customFormat="1" x14ac:dyDescent="0.4">
      <c r="A34" s="61"/>
      <c r="B34" s="62"/>
      <c r="C34" s="63" t="s">
        <v>482</v>
      </c>
      <c r="D34" s="62" t="s">
        <v>13</v>
      </c>
      <c r="E34" s="64">
        <v>13.42</v>
      </c>
      <c r="F34" s="64">
        <v>255.65100000000001</v>
      </c>
    </row>
    <row r="35" spans="1:6" s="27" customFormat="1" x14ac:dyDescent="0.4">
      <c r="A35" s="65"/>
      <c r="B35" s="66"/>
      <c r="C35" s="67" t="s">
        <v>483</v>
      </c>
      <c r="D35" s="66" t="s">
        <v>13</v>
      </c>
      <c r="E35" s="68">
        <v>28.49</v>
      </c>
      <c r="F35" s="68">
        <v>542.73450000000003</v>
      </c>
    </row>
    <row r="36" spans="1:6" s="27" customFormat="1" x14ac:dyDescent="0.4">
      <c r="A36" s="65"/>
      <c r="B36" s="66"/>
      <c r="C36" s="67" t="s">
        <v>484</v>
      </c>
      <c r="D36" s="66" t="s">
        <v>13</v>
      </c>
      <c r="E36" s="68">
        <v>29.53</v>
      </c>
      <c r="F36" s="68">
        <v>562.54650000000004</v>
      </c>
    </row>
    <row r="37" spans="1:6" s="27" customFormat="1" x14ac:dyDescent="0.4">
      <c r="A37" s="65"/>
      <c r="B37" s="66"/>
      <c r="C37" s="67" t="s">
        <v>485</v>
      </c>
      <c r="D37" s="66" t="s">
        <v>13</v>
      </c>
      <c r="E37" s="68">
        <v>0.11</v>
      </c>
      <c r="F37" s="68">
        <v>2.0954999999999999</v>
      </c>
    </row>
    <row r="38" spans="1:6" s="27" customFormat="1" ht="23.25" x14ac:dyDescent="0.4">
      <c r="A38" s="65"/>
      <c r="B38" s="66"/>
      <c r="C38" s="67" t="s">
        <v>486</v>
      </c>
      <c r="D38" s="66" t="s">
        <v>13</v>
      </c>
      <c r="E38" s="68">
        <v>22.34</v>
      </c>
      <c r="F38" s="68">
        <v>425.577</v>
      </c>
    </row>
    <row r="39" spans="1:6" s="27" customFormat="1" ht="23.25" x14ac:dyDescent="0.4">
      <c r="A39" s="65"/>
      <c r="B39" s="66"/>
      <c r="C39" s="67" t="s">
        <v>487</v>
      </c>
      <c r="D39" s="66" t="s">
        <v>13</v>
      </c>
      <c r="E39" s="68">
        <v>1.21</v>
      </c>
      <c r="F39" s="68">
        <v>23.0505</v>
      </c>
    </row>
    <row r="40" spans="1:6" s="27" customFormat="1" x14ac:dyDescent="0.4">
      <c r="A40" s="65"/>
      <c r="B40" s="66"/>
      <c r="C40" s="67" t="s">
        <v>488</v>
      </c>
      <c r="D40" s="66" t="s">
        <v>13</v>
      </c>
      <c r="E40" s="68">
        <v>28.49</v>
      </c>
      <c r="F40" s="68">
        <v>542.73450000000003</v>
      </c>
    </row>
    <row r="41" spans="1:6" s="27" customFormat="1" x14ac:dyDescent="0.4">
      <c r="A41" s="69"/>
      <c r="B41" s="70"/>
      <c r="C41" s="71" t="s">
        <v>74</v>
      </c>
      <c r="D41" s="70" t="s">
        <v>23</v>
      </c>
      <c r="E41" s="73">
        <v>4</v>
      </c>
      <c r="F41" s="72">
        <v>76.2</v>
      </c>
    </row>
    <row r="42" spans="1:6" s="27" customFormat="1" x14ac:dyDescent="0.4">
      <c r="A42" s="51"/>
      <c r="B42" s="52"/>
      <c r="C42" s="110" t="s">
        <v>495</v>
      </c>
      <c r="D42" s="110"/>
      <c r="E42" s="52"/>
      <c r="F42" s="53"/>
    </row>
    <row r="43" spans="1:6" s="27" customFormat="1" ht="23.25" x14ac:dyDescent="0.4">
      <c r="A43" s="54" t="s">
        <v>29</v>
      </c>
      <c r="B43" s="55" t="s">
        <v>496</v>
      </c>
      <c r="C43" s="55" t="s">
        <v>497</v>
      </c>
      <c r="D43" s="56" t="s">
        <v>313</v>
      </c>
      <c r="E43" s="106">
        <v>0.63300000000000001</v>
      </c>
      <c r="F43" s="107"/>
    </row>
    <row r="44" spans="1:6" s="27" customFormat="1" x14ac:dyDescent="0.4">
      <c r="A44" s="57"/>
      <c r="B44" s="58"/>
      <c r="C44" s="59" t="s">
        <v>11</v>
      </c>
      <c r="D44" s="58" t="s">
        <v>12</v>
      </c>
      <c r="E44" s="74">
        <v>180</v>
      </c>
      <c r="F44" s="60">
        <v>113.94</v>
      </c>
    </row>
    <row r="45" spans="1:6" s="27" customFormat="1" x14ac:dyDescent="0.4">
      <c r="A45" s="61"/>
      <c r="B45" s="62"/>
      <c r="C45" s="63" t="s">
        <v>141</v>
      </c>
      <c r="D45" s="62" t="s">
        <v>13</v>
      </c>
      <c r="E45" s="75">
        <v>48</v>
      </c>
      <c r="F45" s="64">
        <v>30.384</v>
      </c>
    </row>
    <row r="46" spans="1:6" s="27" customFormat="1" x14ac:dyDescent="0.4">
      <c r="A46" s="65"/>
      <c r="B46" s="66"/>
      <c r="C46" s="67" t="s">
        <v>19</v>
      </c>
      <c r="D46" s="66" t="s">
        <v>13</v>
      </c>
      <c r="E46" s="68">
        <v>0.13</v>
      </c>
      <c r="F46" s="68">
        <v>8.2290000000000002E-2</v>
      </c>
    </row>
    <row r="47" spans="1:6" s="27" customFormat="1" x14ac:dyDescent="0.4">
      <c r="A47" s="69"/>
      <c r="B47" s="70"/>
      <c r="C47" s="71" t="s">
        <v>142</v>
      </c>
      <c r="D47" s="70" t="s">
        <v>23</v>
      </c>
      <c r="E47" s="73">
        <v>102</v>
      </c>
      <c r="F47" s="72">
        <v>64.566000000000003</v>
      </c>
    </row>
    <row r="48" spans="1:6" s="27" customFormat="1" x14ac:dyDescent="0.4">
      <c r="A48" s="76"/>
      <c r="B48" s="77"/>
      <c r="C48" s="78" t="s">
        <v>74</v>
      </c>
      <c r="D48" s="77" t="s">
        <v>23</v>
      </c>
      <c r="E48" s="79">
        <v>0.2</v>
      </c>
      <c r="F48" s="79">
        <v>0.12659999999999999</v>
      </c>
    </row>
    <row r="49" spans="1:6" s="27" customFormat="1" x14ac:dyDescent="0.4">
      <c r="A49" s="76"/>
      <c r="B49" s="77"/>
      <c r="C49" s="78" t="s">
        <v>314</v>
      </c>
      <c r="D49" s="77" t="s">
        <v>21</v>
      </c>
      <c r="E49" s="80">
        <v>250</v>
      </c>
      <c r="F49" s="79">
        <v>158.25</v>
      </c>
    </row>
    <row r="50" spans="1:6" s="27" customFormat="1" ht="23.25" x14ac:dyDescent="0.4">
      <c r="A50" s="54" t="s">
        <v>32</v>
      </c>
      <c r="B50" s="55" t="s">
        <v>498</v>
      </c>
      <c r="C50" s="55" t="s">
        <v>499</v>
      </c>
      <c r="D50" s="56" t="s">
        <v>500</v>
      </c>
      <c r="E50" s="106">
        <v>4.4000000000000004</v>
      </c>
      <c r="F50" s="107"/>
    </row>
    <row r="51" spans="1:6" s="27" customFormat="1" x14ac:dyDescent="0.4">
      <c r="A51" s="57"/>
      <c r="B51" s="58"/>
      <c r="C51" s="59" t="s">
        <v>11</v>
      </c>
      <c r="D51" s="58" t="s">
        <v>12</v>
      </c>
      <c r="E51" s="60">
        <v>76.87</v>
      </c>
      <c r="F51" s="60">
        <v>338.22800000000001</v>
      </c>
    </row>
    <row r="52" spans="1:6" s="27" customFormat="1" x14ac:dyDescent="0.4">
      <c r="A52" s="61"/>
      <c r="B52" s="62"/>
      <c r="C52" s="63" t="s">
        <v>501</v>
      </c>
      <c r="D52" s="62" t="s">
        <v>13</v>
      </c>
      <c r="E52" s="64">
        <v>4.4000000000000004</v>
      </c>
      <c r="F52" s="64">
        <v>19.36</v>
      </c>
    </row>
    <row r="53" spans="1:6" s="27" customFormat="1" x14ac:dyDescent="0.4">
      <c r="A53" s="65"/>
      <c r="B53" s="66"/>
      <c r="C53" s="67" t="s">
        <v>141</v>
      </c>
      <c r="D53" s="66" t="s">
        <v>13</v>
      </c>
      <c r="E53" s="81">
        <v>22</v>
      </c>
      <c r="F53" s="68">
        <v>96.8</v>
      </c>
    </row>
    <row r="54" spans="1:6" s="27" customFormat="1" x14ac:dyDescent="0.4">
      <c r="A54" s="65"/>
      <c r="B54" s="66"/>
      <c r="C54" s="67" t="s">
        <v>502</v>
      </c>
      <c r="D54" s="66" t="s">
        <v>13</v>
      </c>
      <c r="E54" s="68">
        <v>0.1</v>
      </c>
      <c r="F54" s="68">
        <v>0.44</v>
      </c>
    </row>
    <row r="55" spans="1:6" s="27" customFormat="1" x14ac:dyDescent="0.4">
      <c r="A55" s="65"/>
      <c r="B55" s="66"/>
      <c r="C55" s="67" t="s">
        <v>107</v>
      </c>
      <c r="D55" s="66" t="s">
        <v>13</v>
      </c>
      <c r="E55" s="68">
        <v>1.88</v>
      </c>
      <c r="F55" s="68">
        <v>8.2720000000000002</v>
      </c>
    </row>
    <row r="56" spans="1:6" s="27" customFormat="1" x14ac:dyDescent="0.4">
      <c r="A56" s="65"/>
      <c r="B56" s="66"/>
      <c r="C56" s="67" t="s">
        <v>19</v>
      </c>
      <c r="D56" s="66" t="s">
        <v>13</v>
      </c>
      <c r="E56" s="68">
        <v>0.48</v>
      </c>
      <c r="F56" s="68">
        <v>2.1120000000000001</v>
      </c>
    </row>
    <row r="57" spans="1:6" s="27" customFormat="1" x14ac:dyDescent="0.4">
      <c r="A57" s="69"/>
      <c r="B57" s="70"/>
      <c r="C57" s="71" t="s">
        <v>503</v>
      </c>
      <c r="D57" s="70" t="s">
        <v>23</v>
      </c>
      <c r="E57" s="72">
        <v>101.5</v>
      </c>
      <c r="F57" s="72">
        <v>446.6</v>
      </c>
    </row>
    <row r="58" spans="1:6" s="27" customFormat="1" x14ac:dyDescent="0.4">
      <c r="A58" s="76"/>
      <c r="B58" s="77"/>
      <c r="C58" s="78" t="s">
        <v>22</v>
      </c>
      <c r="D58" s="77" t="s">
        <v>14</v>
      </c>
      <c r="E58" s="79">
        <v>1.7000000000000001E-2</v>
      </c>
      <c r="F58" s="79">
        <v>7.4800000000000005E-2</v>
      </c>
    </row>
    <row r="59" spans="1:6" s="27" customFormat="1" x14ac:dyDescent="0.4">
      <c r="A59" s="76"/>
      <c r="B59" s="77"/>
      <c r="C59" s="78" t="s">
        <v>108</v>
      </c>
      <c r="D59" s="77" t="s">
        <v>14</v>
      </c>
      <c r="E59" s="79">
        <v>1.2E-2</v>
      </c>
      <c r="F59" s="79">
        <v>5.28E-2</v>
      </c>
    </row>
    <row r="60" spans="1:6" s="27" customFormat="1" x14ac:dyDescent="0.4">
      <c r="A60" s="76"/>
      <c r="B60" s="77"/>
      <c r="C60" s="78" t="s">
        <v>504</v>
      </c>
      <c r="D60" s="77" t="s">
        <v>21</v>
      </c>
      <c r="E60" s="80">
        <v>15</v>
      </c>
      <c r="F60" s="80">
        <v>66</v>
      </c>
    </row>
    <row r="61" spans="1:6" s="27" customFormat="1" ht="23.25" x14ac:dyDescent="0.4">
      <c r="A61" s="54" t="s">
        <v>33</v>
      </c>
      <c r="B61" s="55" t="s">
        <v>34</v>
      </c>
      <c r="C61" s="55" t="s">
        <v>505</v>
      </c>
      <c r="D61" s="56" t="s">
        <v>14</v>
      </c>
      <c r="E61" s="104">
        <v>6.6550000000000002</v>
      </c>
      <c r="F61" s="105"/>
    </row>
    <row r="62" spans="1:6" s="27" customFormat="1" ht="23.25" x14ac:dyDescent="0.4">
      <c r="A62" s="54" t="s">
        <v>35</v>
      </c>
      <c r="B62" s="55" t="s">
        <v>506</v>
      </c>
      <c r="C62" s="55" t="s">
        <v>507</v>
      </c>
      <c r="D62" s="56" t="s">
        <v>508</v>
      </c>
      <c r="E62" s="106">
        <v>5.7240000000000002</v>
      </c>
      <c r="F62" s="107"/>
    </row>
    <row r="63" spans="1:6" s="27" customFormat="1" x14ac:dyDescent="0.4">
      <c r="A63" s="57"/>
      <c r="B63" s="58"/>
      <c r="C63" s="59" t="s">
        <v>11</v>
      </c>
      <c r="D63" s="58" t="s">
        <v>12</v>
      </c>
      <c r="E63" s="60">
        <v>45.4</v>
      </c>
      <c r="F63" s="60">
        <v>259.86959999999999</v>
      </c>
    </row>
    <row r="64" spans="1:6" s="27" customFormat="1" x14ac:dyDescent="0.4">
      <c r="A64" s="61"/>
      <c r="B64" s="62"/>
      <c r="C64" s="63" t="s">
        <v>509</v>
      </c>
      <c r="D64" s="62" t="s">
        <v>13</v>
      </c>
      <c r="E64" s="75">
        <v>2</v>
      </c>
      <c r="F64" s="64">
        <v>11.448</v>
      </c>
    </row>
    <row r="65" spans="1:6" s="27" customFormat="1" x14ac:dyDescent="0.4">
      <c r="A65" s="65"/>
      <c r="B65" s="66"/>
      <c r="C65" s="67" t="s">
        <v>19</v>
      </c>
      <c r="D65" s="66" t="s">
        <v>13</v>
      </c>
      <c r="E65" s="68">
        <v>0.55000000000000004</v>
      </c>
      <c r="F65" s="68">
        <v>3.1482000000000001</v>
      </c>
    </row>
    <row r="66" spans="1:6" s="27" customFormat="1" x14ac:dyDescent="0.4">
      <c r="A66" s="69"/>
      <c r="B66" s="70"/>
      <c r="C66" s="71" t="s">
        <v>510</v>
      </c>
      <c r="D66" s="70" t="s">
        <v>14</v>
      </c>
      <c r="E66" s="72">
        <v>0.48799999999999999</v>
      </c>
      <c r="F66" s="72">
        <v>2.7932999999999999</v>
      </c>
    </row>
    <row r="67" spans="1:6" s="27" customFormat="1" x14ac:dyDescent="0.4">
      <c r="A67" s="76"/>
      <c r="B67" s="77"/>
      <c r="C67" s="78" t="s">
        <v>511</v>
      </c>
      <c r="D67" s="77" t="s">
        <v>21</v>
      </c>
      <c r="E67" s="80">
        <v>234</v>
      </c>
      <c r="F67" s="79">
        <v>1339.4159999999999</v>
      </c>
    </row>
    <row r="68" spans="1:6" s="27" customFormat="1" ht="23.25" x14ac:dyDescent="0.4">
      <c r="A68" s="54" t="s">
        <v>36</v>
      </c>
      <c r="B68" s="55" t="s">
        <v>512</v>
      </c>
      <c r="C68" s="55" t="s">
        <v>513</v>
      </c>
      <c r="D68" s="56" t="s">
        <v>508</v>
      </c>
      <c r="E68" s="106">
        <v>5.7240000000000002</v>
      </c>
      <c r="F68" s="107"/>
    </row>
    <row r="69" spans="1:6" s="27" customFormat="1" x14ac:dyDescent="0.4">
      <c r="A69" s="57"/>
      <c r="B69" s="58"/>
      <c r="C69" s="59" t="s">
        <v>11</v>
      </c>
      <c r="D69" s="58" t="s">
        <v>12</v>
      </c>
      <c r="E69" s="60">
        <v>38.9</v>
      </c>
      <c r="F69" s="60">
        <v>222.6636</v>
      </c>
    </row>
    <row r="70" spans="1:6" s="27" customFormat="1" x14ac:dyDescent="0.4">
      <c r="A70" s="61"/>
      <c r="B70" s="62"/>
      <c r="C70" s="63" t="s">
        <v>509</v>
      </c>
      <c r="D70" s="62" t="s">
        <v>13</v>
      </c>
      <c r="E70" s="75">
        <v>2</v>
      </c>
      <c r="F70" s="64">
        <v>11.448</v>
      </c>
    </row>
    <row r="71" spans="1:6" s="27" customFormat="1" x14ac:dyDescent="0.4">
      <c r="A71" s="65"/>
      <c r="B71" s="66"/>
      <c r="C71" s="67" t="s">
        <v>19</v>
      </c>
      <c r="D71" s="66" t="s">
        <v>13</v>
      </c>
      <c r="E71" s="68">
        <v>0.53</v>
      </c>
      <c r="F71" s="68">
        <v>3.0337000000000001</v>
      </c>
    </row>
    <row r="72" spans="1:6" s="27" customFormat="1" x14ac:dyDescent="0.4">
      <c r="A72" s="69"/>
      <c r="B72" s="70"/>
      <c r="C72" s="71" t="s">
        <v>514</v>
      </c>
      <c r="D72" s="70" t="s">
        <v>23</v>
      </c>
      <c r="E72" s="72">
        <v>2.5</v>
      </c>
      <c r="F72" s="72">
        <v>14.31</v>
      </c>
    </row>
    <row r="73" spans="1:6" s="27" customFormat="1" x14ac:dyDescent="0.4">
      <c r="A73" s="76"/>
      <c r="B73" s="77"/>
      <c r="C73" s="78" t="s">
        <v>510</v>
      </c>
      <c r="D73" s="77" t="s">
        <v>14</v>
      </c>
      <c r="E73" s="79">
        <v>0.24399999999999999</v>
      </c>
      <c r="F73" s="79">
        <v>1.3967000000000001</v>
      </c>
    </row>
    <row r="74" spans="1:6" s="27" customFormat="1" x14ac:dyDescent="0.4">
      <c r="A74" s="76"/>
      <c r="B74" s="77"/>
      <c r="C74" s="78" t="s">
        <v>511</v>
      </c>
      <c r="D74" s="77" t="s">
        <v>21</v>
      </c>
      <c r="E74" s="80">
        <v>117</v>
      </c>
      <c r="F74" s="79">
        <v>669.70799999999997</v>
      </c>
    </row>
    <row r="75" spans="1:6" s="27" customFormat="1" ht="23.25" x14ac:dyDescent="0.4">
      <c r="A75" s="54" t="s">
        <v>37</v>
      </c>
      <c r="B75" s="55" t="s">
        <v>515</v>
      </c>
      <c r="C75" s="55" t="s">
        <v>516</v>
      </c>
      <c r="D75" s="56" t="s">
        <v>508</v>
      </c>
      <c r="E75" s="106">
        <v>6.86</v>
      </c>
      <c r="F75" s="107"/>
    </row>
    <row r="76" spans="1:6" s="27" customFormat="1" x14ac:dyDescent="0.4">
      <c r="A76" s="57"/>
      <c r="B76" s="58"/>
      <c r="C76" s="59" t="s">
        <v>11</v>
      </c>
      <c r="D76" s="58" t="s">
        <v>12</v>
      </c>
      <c r="E76" s="60">
        <v>25.5</v>
      </c>
      <c r="F76" s="60">
        <v>174.93</v>
      </c>
    </row>
    <row r="77" spans="1:6" s="27" customFormat="1" x14ac:dyDescent="0.4">
      <c r="A77" s="61"/>
      <c r="B77" s="62"/>
      <c r="C77" s="63" t="s">
        <v>509</v>
      </c>
      <c r="D77" s="62" t="s">
        <v>13</v>
      </c>
      <c r="E77" s="75">
        <v>2</v>
      </c>
      <c r="F77" s="64">
        <v>13.72</v>
      </c>
    </row>
    <row r="78" spans="1:6" s="27" customFormat="1" x14ac:dyDescent="0.4">
      <c r="A78" s="65"/>
      <c r="B78" s="66"/>
      <c r="C78" s="67" t="s">
        <v>19</v>
      </c>
      <c r="D78" s="66" t="s">
        <v>13</v>
      </c>
      <c r="E78" s="68">
        <v>0.15</v>
      </c>
      <c r="F78" s="68">
        <v>1.0289999999999999</v>
      </c>
    </row>
    <row r="79" spans="1:6" s="27" customFormat="1" x14ac:dyDescent="0.4">
      <c r="A79" s="69"/>
      <c r="B79" s="70"/>
      <c r="C79" s="71" t="s">
        <v>510</v>
      </c>
      <c r="D79" s="70" t="s">
        <v>14</v>
      </c>
      <c r="E79" s="72">
        <v>0.24399999999999999</v>
      </c>
      <c r="F79" s="72">
        <v>1.6738</v>
      </c>
    </row>
    <row r="80" spans="1:6" s="27" customFormat="1" x14ac:dyDescent="0.4">
      <c r="A80" s="76"/>
      <c r="B80" s="77"/>
      <c r="C80" s="78" t="s">
        <v>511</v>
      </c>
      <c r="D80" s="77" t="s">
        <v>21</v>
      </c>
      <c r="E80" s="80">
        <v>117</v>
      </c>
      <c r="F80" s="79">
        <v>802.62</v>
      </c>
    </row>
    <row r="81" spans="1:6" s="27" customFormat="1" ht="23.25" x14ac:dyDescent="0.4">
      <c r="A81" s="54" t="s">
        <v>38</v>
      </c>
      <c r="B81" s="55" t="s">
        <v>34</v>
      </c>
      <c r="C81" s="55" t="s">
        <v>552</v>
      </c>
      <c r="D81" s="56" t="s">
        <v>14</v>
      </c>
      <c r="E81" s="104">
        <v>2.544</v>
      </c>
      <c r="F81" s="105"/>
    </row>
    <row r="82" spans="1:6" s="27" customFormat="1" ht="23.25" x14ac:dyDescent="0.4">
      <c r="A82" s="54" t="s">
        <v>39</v>
      </c>
      <c r="B82" s="55" t="s">
        <v>34</v>
      </c>
      <c r="C82" s="55" t="s">
        <v>554</v>
      </c>
      <c r="D82" s="56" t="s">
        <v>14</v>
      </c>
      <c r="E82" s="104">
        <v>9.0792999999999999</v>
      </c>
      <c r="F82" s="105"/>
    </row>
    <row r="83" spans="1:6" s="27" customFormat="1" ht="23.25" x14ac:dyDescent="0.4">
      <c r="A83" s="54" t="s">
        <v>40</v>
      </c>
      <c r="B83" s="55" t="s">
        <v>34</v>
      </c>
      <c r="C83" s="55" t="s">
        <v>505</v>
      </c>
      <c r="D83" s="56" t="s">
        <v>14</v>
      </c>
      <c r="E83" s="104">
        <v>6.6550000000000002</v>
      </c>
      <c r="F83" s="105"/>
    </row>
    <row r="84" spans="1:6" s="27" customFormat="1" ht="23.25" x14ac:dyDescent="0.4">
      <c r="A84" s="54" t="s">
        <v>44</v>
      </c>
      <c r="B84" s="55" t="s">
        <v>34</v>
      </c>
      <c r="C84" s="55" t="s">
        <v>553</v>
      </c>
      <c r="D84" s="56" t="s">
        <v>14</v>
      </c>
      <c r="E84" s="104">
        <v>11.98</v>
      </c>
      <c r="F84" s="105"/>
    </row>
    <row r="85" spans="1:6" s="27" customFormat="1" ht="23.25" x14ac:dyDescent="0.4">
      <c r="A85" s="54" t="s">
        <v>45</v>
      </c>
      <c r="B85" s="55" t="s">
        <v>34</v>
      </c>
      <c r="C85" s="55" t="s">
        <v>811</v>
      </c>
      <c r="D85" s="56" t="s">
        <v>14</v>
      </c>
      <c r="E85" s="104">
        <v>3.871</v>
      </c>
      <c r="F85" s="105"/>
    </row>
    <row r="86" spans="1:6" s="27" customFormat="1" ht="23.25" x14ac:dyDescent="0.4">
      <c r="A86" s="54" t="s">
        <v>46</v>
      </c>
      <c r="B86" s="55" t="s">
        <v>34</v>
      </c>
      <c r="C86" s="55" t="s">
        <v>521</v>
      </c>
      <c r="D86" s="56" t="s">
        <v>14</v>
      </c>
      <c r="E86" s="104">
        <v>1.893</v>
      </c>
      <c r="F86" s="105"/>
    </row>
    <row r="87" spans="1:6" s="27" customFormat="1" ht="23.25" x14ac:dyDescent="0.4">
      <c r="A87" s="54" t="s">
        <v>47</v>
      </c>
      <c r="B87" s="55" t="s">
        <v>34</v>
      </c>
      <c r="C87" s="55" t="s">
        <v>522</v>
      </c>
      <c r="D87" s="56" t="s">
        <v>14</v>
      </c>
      <c r="E87" s="104">
        <v>0.27560000000000001</v>
      </c>
      <c r="F87" s="105"/>
    </row>
    <row r="88" spans="1:6" s="27" customFormat="1" ht="23.25" x14ac:dyDescent="0.4">
      <c r="A88" s="54" t="s">
        <v>48</v>
      </c>
      <c r="B88" s="55" t="s">
        <v>34</v>
      </c>
      <c r="C88" s="55" t="s">
        <v>789</v>
      </c>
      <c r="D88" s="56" t="s">
        <v>14</v>
      </c>
      <c r="E88" s="104">
        <v>0.19650000000000001</v>
      </c>
      <c r="F88" s="105"/>
    </row>
    <row r="89" spans="1:6" s="27" customFormat="1" ht="23.25" x14ac:dyDescent="0.4">
      <c r="A89" s="54" t="s">
        <v>49</v>
      </c>
      <c r="B89" s="55" t="s">
        <v>34</v>
      </c>
      <c r="C89" s="55" t="s">
        <v>519</v>
      </c>
      <c r="D89" s="56" t="s">
        <v>14</v>
      </c>
      <c r="E89" s="104">
        <v>0.34849999999999998</v>
      </c>
      <c r="F89" s="105"/>
    </row>
    <row r="90" spans="1:6" s="27" customFormat="1" ht="23.25" x14ac:dyDescent="0.4">
      <c r="A90" s="54" t="s">
        <v>50</v>
      </c>
      <c r="B90" s="55" t="s">
        <v>34</v>
      </c>
      <c r="C90" s="55" t="s">
        <v>798</v>
      </c>
      <c r="D90" s="56" t="s">
        <v>14</v>
      </c>
      <c r="E90" s="104">
        <v>6.0000000000000001E-3</v>
      </c>
      <c r="F90" s="105"/>
    </row>
    <row r="91" spans="1:6" s="27" customFormat="1" ht="46.5" x14ac:dyDescent="0.4">
      <c r="A91" s="54" t="s">
        <v>51</v>
      </c>
      <c r="B91" s="55" t="s">
        <v>523</v>
      </c>
      <c r="C91" s="55" t="s">
        <v>524</v>
      </c>
      <c r="D91" s="56" t="s">
        <v>525</v>
      </c>
      <c r="E91" s="106">
        <v>1.34</v>
      </c>
      <c r="F91" s="107"/>
    </row>
    <row r="92" spans="1:6" s="27" customFormat="1" x14ac:dyDescent="0.4">
      <c r="A92" s="57"/>
      <c r="B92" s="58"/>
      <c r="C92" s="59" t="s">
        <v>11</v>
      </c>
      <c r="D92" s="58" t="s">
        <v>12</v>
      </c>
      <c r="E92" s="60">
        <v>47.6</v>
      </c>
      <c r="F92" s="60">
        <v>63.783999999999999</v>
      </c>
    </row>
    <row r="93" spans="1:6" s="27" customFormat="1" x14ac:dyDescent="0.4">
      <c r="A93" s="61"/>
      <c r="B93" s="62"/>
      <c r="C93" s="63" t="s">
        <v>18</v>
      </c>
      <c r="D93" s="62" t="s">
        <v>13</v>
      </c>
      <c r="E93" s="64">
        <v>2.63</v>
      </c>
      <c r="F93" s="64">
        <v>3.5242</v>
      </c>
    </row>
    <row r="94" spans="1:6" s="27" customFormat="1" x14ac:dyDescent="0.4">
      <c r="A94" s="65"/>
      <c r="B94" s="66"/>
      <c r="C94" s="67" t="s">
        <v>526</v>
      </c>
      <c r="D94" s="66" t="s">
        <v>13</v>
      </c>
      <c r="E94" s="68">
        <v>14.9</v>
      </c>
      <c r="F94" s="68">
        <v>19.966000000000001</v>
      </c>
    </row>
    <row r="95" spans="1:6" s="27" customFormat="1" x14ac:dyDescent="0.4">
      <c r="A95" s="65"/>
      <c r="B95" s="66"/>
      <c r="C95" s="67" t="s">
        <v>19</v>
      </c>
      <c r="D95" s="66" t="s">
        <v>13</v>
      </c>
      <c r="E95" s="68">
        <v>3.95</v>
      </c>
      <c r="F95" s="68">
        <v>5.2930000000000001</v>
      </c>
    </row>
    <row r="96" spans="1:6" s="27" customFormat="1" x14ac:dyDescent="0.4">
      <c r="A96" s="69"/>
      <c r="B96" s="70"/>
      <c r="C96" s="71" t="s">
        <v>527</v>
      </c>
      <c r="D96" s="70" t="s">
        <v>23</v>
      </c>
      <c r="E96" s="72">
        <v>0.41</v>
      </c>
      <c r="F96" s="72">
        <v>0.5494</v>
      </c>
    </row>
    <row r="97" spans="1:6" s="27" customFormat="1" x14ac:dyDescent="0.4">
      <c r="A97" s="76"/>
      <c r="B97" s="77"/>
      <c r="C97" s="78" t="s">
        <v>528</v>
      </c>
      <c r="D97" s="77" t="s">
        <v>23</v>
      </c>
      <c r="E97" s="79">
        <v>1.2</v>
      </c>
      <c r="F97" s="79">
        <v>1.6080000000000001</v>
      </c>
    </row>
    <row r="98" spans="1:6" s="27" customFormat="1" x14ac:dyDescent="0.4">
      <c r="A98" s="54" t="s">
        <v>52</v>
      </c>
      <c r="B98" s="55" t="s">
        <v>34</v>
      </c>
      <c r="C98" s="55" t="s">
        <v>529</v>
      </c>
      <c r="D98" s="56" t="s">
        <v>30</v>
      </c>
      <c r="E98" s="108">
        <v>134</v>
      </c>
      <c r="F98" s="109"/>
    </row>
    <row r="99" spans="1:6" s="27" customFormat="1" ht="46.5" x14ac:dyDescent="0.4">
      <c r="A99" s="54" t="s">
        <v>53</v>
      </c>
      <c r="B99" s="55" t="s">
        <v>530</v>
      </c>
      <c r="C99" s="55" t="s">
        <v>531</v>
      </c>
      <c r="D99" s="56" t="s">
        <v>525</v>
      </c>
      <c r="E99" s="106">
        <v>0.56999999999999995</v>
      </c>
      <c r="F99" s="107"/>
    </row>
    <row r="100" spans="1:6" s="27" customFormat="1" x14ac:dyDescent="0.4">
      <c r="A100" s="57"/>
      <c r="B100" s="58"/>
      <c r="C100" s="59" t="s">
        <v>11</v>
      </c>
      <c r="D100" s="58" t="s">
        <v>12</v>
      </c>
      <c r="E100" s="60">
        <v>66.8</v>
      </c>
      <c r="F100" s="60">
        <v>38.076000000000001</v>
      </c>
    </row>
    <row r="101" spans="1:6" s="27" customFormat="1" x14ac:dyDescent="0.4">
      <c r="A101" s="61"/>
      <c r="B101" s="62"/>
      <c r="C101" s="63" t="s">
        <v>18</v>
      </c>
      <c r="D101" s="62" t="s">
        <v>13</v>
      </c>
      <c r="E101" s="64">
        <v>3.92</v>
      </c>
      <c r="F101" s="64">
        <v>2.2343999999999999</v>
      </c>
    </row>
    <row r="102" spans="1:6" s="27" customFormat="1" x14ac:dyDescent="0.4">
      <c r="A102" s="65"/>
      <c r="B102" s="66"/>
      <c r="C102" s="67" t="s">
        <v>526</v>
      </c>
      <c r="D102" s="66" t="s">
        <v>13</v>
      </c>
      <c r="E102" s="68">
        <v>20.38</v>
      </c>
      <c r="F102" s="68">
        <v>11.6166</v>
      </c>
    </row>
    <row r="103" spans="1:6" s="27" customFormat="1" x14ac:dyDescent="0.4">
      <c r="A103" s="65"/>
      <c r="B103" s="66"/>
      <c r="C103" s="67" t="s">
        <v>19</v>
      </c>
      <c r="D103" s="66" t="s">
        <v>13</v>
      </c>
      <c r="E103" s="68">
        <v>5.89</v>
      </c>
      <c r="F103" s="68">
        <v>3.3573</v>
      </c>
    </row>
    <row r="104" spans="1:6" s="27" customFormat="1" x14ac:dyDescent="0.4">
      <c r="A104" s="69"/>
      <c r="B104" s="70"/>
      <c r="C104" s="71" t="s">
        <v>527</v>
      </c>
      <c r="D104" s="70" t="s">
        <v>23</v>
      </c>
      <c r="E104" s="72">
        <v>0.71</v>
      </c>
      <c r="F104" s="72">
        <v>0.4047</v>
      </c>
    </row>
    <row r="105" spans="1:6" s="27" customFormat="1" x14ac:dyDescent="0.4">
      <c r="A105" s="76"/>
      <c r="B105" s="77"/>
      <c r="C105" s="78" t="s">
        <v>528</v>
      </c>
      <c r="D105" s="77" t="s">
        <v>23</v>
      </c>
      <c r="E105" s="79">
        <v>1.65</v>
      </c>
      <c r="F105" s="79">
        <v>0.9405</v>
      </c>
    </row>
    <row r="106" spans="1:6" s="27" customFormat="1" x14ac:dyDescent="0.4">
      <c r="A106" s="54" t="s">
        <v>54</v>
      </c>
      <c r="B106" s="55" t="s">
        <v>34</v>
      </c>
      <c r="C106" s="55" t="s">
        <v>532</v>
      </c>
      <c r="D106" s="56" t="s">
        <v>30</v>
      </c>
      <c r="E106" s="108">
        <v>57</v>
      </c>
      <c r="F106" s="109"/>
    </row>
    <row r="107" spans="1:6" s="27" customFormat="1" ht="46.5" x14ac:dyDescent="0.4">
      <c r="A107" s="54" t="s">
        <v>55</v>
      </c>
      <c r="B107" s="55" t="s">
        <v>533</v>
      </c>
      <c r="C107" s="55" t="s">
        <v>534</v>
      </c>
      <c r="D107" s="56" t="s">
        <v>525</v>
      </c>
      <c r="E107" s="106">
        <v>0.65</v>
      </c>
      <c r="F107" s="107"/>
    </row>
    <row r="108" spans="1:6" s="27" customFormat="1" x14ac:dyDescent="0.4">
      <c r="A108" s="57"/>
      <c r="B108" s="58"/>
      <c r="C108" s="59" t="s">
        <v>11</v>
      </c>
      <c r="D108" s="58" t="s">
        <v>12</v>
      </c>
      <c r="E108" s="60">
        <v>93.7</v>
      </c>
      <c r="F108" s="60">
        <v>60.905000000000001</v>
      </c>
    </row>
    <row r="109" spans="1:6" s="27" customFormat="1" x14ac:dyDescent="0.4">
      <c r="A109" s="61"/>
      <c r="B109" s="62"/>
      <c r="C109" s="63" t="s">
        <v>18</v>
      </c>
      <c r="D109" s="62" t="s">
        <v>13</v>
      </c>
      <c r="E109" s="64">
        <v>7.25</v>
      </c>
      <c r="F109" s="64">
        <v>4.7125000000000004</v>
      </c>
    </row>
    <row r="110" spans="1:6" s="27" customFormat="1" x14ac:dyDescent="0.4">
      <c r="A110" s="65"/>
      <c r="B110" s="66"/>
      <c r="C110" s="67" t="s">
        <v>526</v>
      </c>
      <c r="D110" s="66" t="s">
        <v>13</v>
      </c>
      <c r="E110" s="68">
        <v>29.9</v>
      </c>
      <c r="F110" s="68">
        <v>19.434999999999999</v>
      </c>
    </row>
    <row r="111" spans="1:6" s="27" customFormat="1" x14ac:dyDescent="0.4">
      <c r="A111" s="65"/>
      <c r="B111" s="66"/>
      <c r="C111" s="67" t="s">
        <v>19</v>
      </c>
      <c r="D111" s="66" t="s">
        <v>13</v>
      </c>
      <c r="E111" s="68">
        <v>10.87</v>
      </c>
      <c r="F111" s="68">
        <v>7.0655000000000001</v>
      </c>
    </row>
    <row r="112" spans="1:6" s="27" customFormat="1" x14ac:dyDescent="0.4">
      <c r="A112" s="69"/>
      <c r="B112" s="70"/>
      <c r="C112" s="71" t="s">
        <v>527</v>
      </c>
      <c r="D112" s="70" t="s">
        <v>23</v>
      </c>
      <c r="E112" s="72">
        <v>0.47</v>
      </c>
      <c r="F112" s="72">
        <v>0.30549999999999999</v>
      </c>
    </row>
    <row r="113" spans="1:6" s="27" customFormat="1" x14ac:dyDescent="0.4">
      <c r="A113" s="76"/>
      <c r="B113" s="77"/>
      <c r="C113" s="78" t="s">
        <v>528</v>
      </c>
      <c r="D113" s="77" t="s">
        <v>23</v>
      </c>
      <c r="E113" s="79">
        <v>2.95</v>
      </c>
      <c r="F113" s="79">
        <v>1.9175</v>
      </c>
    </row>
    <row r="114" spans="1:6" s="27" customFormat="1" x14ac:dyDescent="0.4">
      <c r="A114" s="54" t="s">
        <v>56</v>
      </c>
      <c r="B114" s="55" t="s">
        <v>34</v>
      </c>
      <c r="C114" s="55" t="s">
        <v>535</v>
      </c>
      <c r="D114" s="56" t="s">
        <v>30</v>
      </c>
      <c r="E114" s="108">
        <v>65</v>
      </c>
      <c r="F114" s="109"/>
    </row>
    <row r="115" spans="1:6" s="27" customFormat="1" ht="46.5" x14ac:dyDescent="0.4">
      <c r="A115" s="54" t="s">
        <v>57</v>
      </c>
      <c r="B115" s="55" t="s">
        <v>536</v>
      </c>
      <c r="C115" s="55" t="s">
        <v>537</v>
      </c>
      <c r="D115" s="56" t="s">
        <v>538</v>
      </c>
      <c r="E115" s="106">
        <v>2.9000000000000001E-2</v>
      </c>
      <c r="F115" s="107"/>
    </row>
    <row r="116" spans="1:6" s="27" customFormat="1" x14ac:dyDescent="0.4">
      <c r="A116" s="57"/>
      <c r="B116" s="58"/>
      <c r="C116" s="59" t="s">
        <v>11</v>
      </c>
      <c r="D116" s="58" t="s">
        <v>12</v>
      </c>
      <c r="E116" s="74">
        <v>1319</v>
      </c>
      <c r="F116" s="60">
        <v>38.250999999999998</v>
      </c>
    </row>
    <row r="117" spans="1:6" s="27" customFormat="1" x14ac:dyDescent="0.4">
      <c r="A117" s="61"/>
      <c r="B117" s="62"/>
      <c r="C117" s="63" t="s">
        <v>539</v>
      </c>
      <c r="D117" s="62" t="s">
        <v>13</v>
      </c>
      <c r="E117" s="64">
        <v>0.99</v>
      </c>
      <c r="F117" s="64">
        <v>2.8709999999999999E-2</v>
      </c>
    </row>
    <row r="118" spans="1:6" s="27" customFormat="1" x14ac:dyDescent="0.4">
      <c r="A118" s="65"/>
      <c r="B118" s="66"/>
      <c r="C118" s="67" t="s">
        <v>141</v>
      </c>
      <c r="D118" s="66" t="s">
        <v>13</v>
      </c>
      <c r="E118" s="68">
        <v>71.8</v>
      </c>
      <c r="F118" s="68">
        <v>2.0821999999999998</v>
      </c>
    </row>
    <row r="119" spans="1:6" s="27" customFormat="1" x14ac:dyDescent="0.4">
      <c r="A119" s="65"/>
      <c r="B119" s="66"/>
      <c r="C119" s="67" t="s">
        <v>18</v>
      </c>
      <c r="D119" s="66" t="s">
        <v>13</v>
      </c>
      <c r="E119" s="68">
        <v>1.79</v>
      </c>
      <c r="F119" s="68">
        <v>5.1909999999999998E-2</v>
      </c>
    </row>
    <row r="120" spans="1:6" s="27" customFormat="1" x14ac:dyDescent="0.4">
      <c r="A120" s="65"/>
      <c r="B120" s="66"/>
      <c r="C120" s="67" t="s">
        <v>540</v>
      </c>
      <c r="D120" s="66" t="s">
        <v>13</v>
      </c>
      <c r="E120" s="68">
        <v>0.6</v>
      </c>
      <c r="F120" s="68">
        <v>1.7399999999999999E-2</v>
      </c>
    </row>
    <row r="121" spans="1:6" s="27" customFormat="1" x14ac:dyDescent="0.4">
      <c r="A121" s="65"/>
      <c r="B121" s="66"/>
      <c r="C121" s="67" t="s">
        <v>107</v>
      </c>
      <c r="D121" s="66" t="s">
        <v>13</v>
      </c>
      <c r="E121" s="68">
        <v>7.6</v>
      </c>
      <c r="F121" s="68">
        <v>0.22040000000000001</v>
      </c>
    </row>
    <row r="122" spans="1:6" s="27" customFormat="1" x14ac:dyDescent="0.4">
      <c r="A122" s="65"/>
      <c r="B122" s="66"/>
      <c r="C122" s="67" t="s">
        <v>71</v>
      </c>
      <c r="D122" s="66" t="s">
        <v>13</v>
      </c>
      <c r="E122" s="68">
        <v>2.7</v>
      </c>
      <c r="F122" s="68">
        <v>7.8299999999999995E-2</v>
      </c>
    </row>
    <row r="123" spans="1:6" s="27" customFormat="1" x14ac:dyDescent="0.4">
      <c r="A123" s="69"/>
      <c r="B123" s="70"/>
      <c r="C123" s="71" t="s">
        <v>527</v>
      </c>
      <c r="D123" s="70" t="s">
        <v>23</v>
      </c>
      <c r="E123" s="72">
        <v>101.5</v>
      </c>
      <c r="F123" s="72">
        <v>2.9434999999999998</v>
      </c>
    </row>
    <row r="124" spans="1:6" s="27" customFormat="1" x14ac:dyDescent="0.4">
      <c r="A124" s="76"/>
      <c r="B124" s="77"/>
      <c r="C124" s="78" t="s">
        <v>20</v>
      </c>
      <c r="D124" s="77" t="s">
        <v>14</v>
      </c>
      <c r="E124" s="79">
        <v>2.3E-2</v>
      </c>
      <c r="F124" s="79">
        <v>6.6699999999999995E-4</v>
      </c>
    </row>
    <row r="125" spans="1:6" s="27" customFormat="1" x14ac:dyDescent="0.4">
      <c r="A125" s="76"/>
      <c r="B125" s="77"/>
      <c r="C125" s="78" t="s">
        <v>541</v>
      </c>
      <c r="D125" s="77" t="s">
        <v>14</v>
      </c>
      <c r="E125" s="79">
        <v>3.7999999999999999E-2</v>
      </c>
      <c r="F125" s="79">
        <v>1.1019999999999999E-3</v>
      </c>
    </row>
    <row r="126" spans="1:6" s="27" customFormat="1" x14ac:dyDescent="0.4">
      <c r="A126" s="76"/>
      <c r="B126" s="77"/>
      <c r="C126" s="78" t="s">
        <v>108</v>
      </c>
      <c r="D126" s="77" t="s">
        <v>14</v>
      </c>
      <c r="E126" s="79">
        <v>7.4999999999999997E-3</v>
      </c>
      <c r="F126" s="79">
        <v>2.1699999999999999E-4</v>
      </c>
    </row>
    <row r="127" spans="1:6" s="27" customFormat="1" x14ac:dyDescent="0.4">
      <c r="A127" s="76"/>
      <c r="B127" s="77"/>
      <c r="C127" s="78" t="s">
        <v>542</v>
      </c>
      <c r="D127" s="77" t="s">
        <v>543</v>
      </c>
      <c r="E127" s="79">
        <v>32.6</v>
      </c>
      <c r="F127" s="79">
        <v>0.94540000000000002</v>
      </c>
    </row>
    <row r="128" spans="1:6" s="27" customFormat="1" x14ac:dyDescent="0.4">
      <c r="A128" s="76"/>
      <c r="B128" s="77"/>
      <c r="C128" s="78" t="s">
        <v>544</v>
      </c>
      <c r="D128" s="77" t="s">
        <v>23</v>
      </c>
      <c r="E128" s="79">
        <v>0.04</v>
      </c>
      <c r="F128" s="79">
        <v>1.16E-3</v>
      </c>
    </row>
    <row r="129" spans="1:6" s="27" customFormat="1" x14ac:dyDescent="0.4">
      <c r="A129" s="76"/>
      <c r="B129" s="77"/>
      <c r="C129" s="78" t="s">
        <v>545</v>
      </c>
      <c r="D129" s="77" t="s">
        <v>21</v>
      </c>
      <c r="E129" s="79">
        <v>33.33</v>
      </c>
      <c r="F129" s="79">
        <v>0.96657000000000004</v>
      </c>
    </row>
    <row r="130" spans="1:6" s="27" customFormat="1" ht="46.5" x14ac:dyDescent="0.4">
      <c r="A130" s="54" t="s">
        <v>58</v>
      </c>
      <c r="B130" s="55" t="s">
        <v>546</v>
      </c>
      <c r="C130" s="55" t="s">
        <v>812</v>
      </c>
      <c r="D130" s="56" t="s">
        <v>538</v>
      </c>
      <c r="E130" s="106">
        <v>5.5E-2</v>
      </c>
      <c r="F130" s="107"/>
    </row>
    <row r="131" spans="1:6" s="27" customFormat="1" x14ac:dyDescent="0.4">
      <c r="A131" s="57"/>
      <c r="B131" s="58"/>
      <c r="C131" s="59" t="s">
        <v>11</v>
      </c>
      <c r="D131" s="58" t="s">
        <v>12</v>
      </c>
      <c r="E131" s="60">
        <v>808.01</v>
      </c>
      <c r="F131" s="60">
        <v>44.440600000000003</v>
      </c>
    </row>
    <row r="132" spans="1:6" s="27" customFormat="1" x14ac:dyDescent="0.4">
      <c r="A132" s="61"/>
      <c r="B132" s="62"/>
      <c r="C132" s="63" t="s">
        <v>539</v>
      </c>
      <c r="D132" s="62" t="s">
        <v>13</v>
      </c>
      <c r="E132" s="64">
        <v>0.27</v>
      </c>
      <c r="F132" s="64">
        <v>1.485E-2</v>
      </c>
    </row>
    <row r="133" spans="1:6" s="27" customFormat="1" x14ac:dyDescent="0.4">
      <c r="A133" s="65"/>
      <c r="B133" s="66"/>
      <c r="C133" s="67" t="s">
        <v>141</v>
      </c>
      <c r="D133" s="66" t="s">
        <v>13</v>
      </c>
      <c r="E133" s="68">
        <v>49.09</v>
      </c>
      <c r="F133" s="68">
        <v>2.6999</v>
      </c>
    </row>
    <row r="134" spans="1:6" s="27" customFormat="1" x14ac:dyDescent="0.4">
      <c r="A134" s="65"/>
      <c r="B134" s="66"/>
      <c r="C134" s="67" t="s">
        <v>18</v>
      </c>
      <c r="D134" s="66" t="s">
        <v>13</v>
      </c>
      <c r="E134" s="68">
        <v>70.81</v>
      </c>
      <c r="F134" s="68">
        <v>3.8944999999999999</v>
      </c>
    </row>
    <row r="135" spans="1:6" s="27" customFormat="1" x14ac:dyDescent="0.4">
      <c r="A135" s="65"/>
      <c r="B135" s="66"/>
      <c r="C135" s="67" t="s">
        <v>19</v>
      </c>
      <c r="D135" s="66" t="s">
        <v>13</v>
      </c>
      <c r="E135" s="68">
        <v>1.23</v>
      </c>
      <c r="F135" s="68">
        <v>6.7650000000000002E-2</v>
      </c>
    </row>
    <row r="136" spans="1:6" s="27" customFormat="1" x14ac:dyDescent="0.4">
      <c r="A136" s="69"/>
      <c r="B136" s="70"/>
      <c r="C136" s="71" t="s">
        <v>527</v>
      </c>
      <c r="D136" s="70" t="s">
        <v>23</v>
      </c>
      <c r="E136" s="73">
        <v>102</v>
      </c>
      <c r="F136" s="72">
        <v>5.61</v>
      </c>
    </row>
    <row r="137" spans="1:6" s="27" customFormat="1" x14ac:dyDescent="0.4">
      <c r="A137" s="76"/>
      <c r="B137" s="77"/>
      <c r="C137" s="78" t="s">
        <v>20</v>
      </c>
      <c r="D137" s="77" t="s">
        <v>14</v>
      </c>
      <c r="E137" s="79">
        <v>3.6999999999999998E-2</v>
      </c>
      <c r="F137" s="79">
        <v>2.0349999999999999E-3</v>
      </c>
    </row>
    <row r="138" spans="1:6" s="27" customFormat="1" ht="23.25" x14ac:dyDescent="0.4">
      <c r="A138" s="76"/>
      <c r="B138" s="77"/>
      <c r="C138" s="78" t="s">
        <v>549</v>
      </c>
      <c r="D138" s="77" t="s">
        <v>23</v>
      </c>
      <c r="E138" s="79">
        <v>0.81</v>
      </c>
      <c r="F138" s="79">
        <v>4.4549999999999999E-2</v>
      </c>
    </row>
    <row r="139" spans="1:6" s="27" customFormat="1" x14ac:dyDescent="0.4">
      <c r="A139" s="76"/>
      <c r="B139" s="77"/>
      <c r="C139" s="78" t="s">
        <v>550</v>
      </c>
      <c r="D139" s="77" t="s">
        <v>21</v>
      </c>
      <c r="E139" s="79">
        <v>77.900000000000006</v>
      </c>
      <c r="F139" s="79">
        <v>4.2845000000000004</v>
      </c>
    </row>
    <row r="140" spans="1:6" s="27" customFormat="1" x14ac:dyDescent="0.4">
      <c r="A140" s="76"/>
      <c r="B140" s="77"/>
      <c r="C140" s="78" t="s">
        <v>551</v>
      </c>
      <c r="D140" s="77" t="s">
        <v>14</v>
      </c>
      <c r="E140" s="79">
        <v>0.3</v>
      </c>
      <c r="F140" s="79">
        <v>1.6500000000000001E-2</v>
      </c>
    </row>
    <row r="141" spans="1:6" s="27" customFormat="1" ht="23.25" x14ac:dyDescent="0.4">
      <c r="A141" s="54" t="s">
        <v>59</v>
      </c>
      <c r="B141" s="55" t="s">
        <v>34</v>
      </c>
      <c r="C141" s="55" t="s">
        <v>520</v>
      </c>
      <c r="D141" s="56" t="s">
        <v>14</v>
      </c>
      <c r="E141" s="104">
        <v>0.308</v>
      </c>
      <c r="F141" s="105"/>
    </row>
    <row r="142" spans="1:6" s="27" customFormat="1" ht="34.9" x14ac:dyDescent="0.4">
      <c r="A142" s="54" t="s">
        <v>78</v>
      </c>
      <c r="B142" s="55" t="s">
        <v>584</v>
      </c>
      <c r="C142" s="55" t="s">
        <v>585</v>
      </c>
      <c r="D142" s="56" t="s">
        <v>579</v>
      </c>
      <c r="E142" s="106">
        <v>217.512</v>
      </c>
      <c r="F142" s="107"/>
    </row>
    <row r="143" spans="1:6" s="27" customFormat="1" x14ac:dyDescent="0.4">
      <c r="A143" s="57"/>
      <c r="B143" s="58"/>
      <c r="C143" s="59" t="s">
        <v>11</v>
      </c>
      <c r="D143" s="58" t="s">
        <v>12</v>
      </c>
      <c r="E143" s="60">
        <v>5.4</v>
      </c>
      <c r="F143" s="60">
        <v>1174.5648000000001</v>
      </c>
    </row>
    <row r="144" spans="1:6" s="27" customFormat="1" x14ac:dyDescent="0.4">
      <c r="A144" s="69"/>
      <c r="B144" s="70"/>
      <c r="C144" s="71" t="s">
        <v>74</v>
      </c>
      <c r="D144" s="70" t="s">
        <v>23</v>
      </c>
      <c r="E144" s="72">
        <v>0.44</v>
      </c>
      <c r="F144" s="72">
        <v>95.705299999999994</v>
      </c>
    </row>
    <row r="145" spans="1:6" s="27" customFormat="1" x14ac:dyDescent="0.4">
      <c r="A145" s="76"/>
      <c r="B145" s="77"/>
      <c r="C145" s="78" t="s">
        <v>586</v>
      </c>
      <c r="D145" s="77" t="s">
        <v>587</v>
      </c>
      <c r="E145" s="79">
        <v>0.30337999999999998</v>
      </c>
      <c r="F145" s="79">
        <v>65.988799999999998</v>
      </c>
    </row>
    <row r="146" spans="1:6" s="27" customFormat="1" x14ac:dyDescent="0.4">
      <c r="A146" s="76"/>
      <c r="B146" s="77"/>
      <c r="C146" s="78" t="s">
        <v>235</v>
      </c>
      <c r="D146" s="77" t="s">
        <v>23</v>
      </c>
      <c r="E146" s="79">
        <v>0.216</v>
      </c>
      <c r="F146" s="79">
        <v>46.982599999999998</v>
      </c>
    </row>
    <row r="147" spans="1:6" s="27" customFormat="1" x14ac:dyDescent="0.4">
      <c r="A147" s="76"/>
      <c r="B147" s="77"/>
      <c r="C147" s="78" t="s">
        <v>588</v>
      </c>
      <c r="D147" s="77" t="s">
        <v>23</v>
      </c>
      <c r="E147" s="79">
        <v>5.0000000000000001E-4</v>
      </c>
      <c r="F147" s="79">
        <v>0.10875600000000001</v>
      </c>
    </row>
    <row r="148" spans="1:6" s="27" customFormat="1" ht="23.25" x14ac:dyDescent="0.4">
      <c r="A148" s="54" t="s">
        <v>79</v>
      </c>
      <c r="B148" s="55" t="s">
        <v>34</v>
      </c>
      <c r="C148" s="55" t="s">
        <v>564</v>
      </c>
      <c r="D148" s="56" t="s">
        <v>14</v>
      </c>
      <c r="E148" s="104">
        <v>0.43</v>
      </c>
      <c r="F148" s="105"/>
    </row>
    <row r="149" spans="1:6" s="27" customFormat="1" ht="23.25" x14ac:dyDescent="0.4">
      <c r="A149" s="54" t="s">
        <v>80</v>
      </c>
      <c r="B149" s="55" t="s">
        <v>34</v>
      </c>
      <c r="C149" s="55" t="s">
        <v>520</v>
      </c>
      <c r="D149" s="56" t="s">
        <v>14</v>
      </c>
      <c r="E149" s="104">
        <v>0.14899999999999999</v>
      </c>
      <c r="F149" s="105"/>
    </row>
    <row r="150" spans="1:6" s="27" customFormat="1" ht="46.5" x14ac:dyDescent="0.4">
      <c r="A150" s="54" t="s">
        <v>81</v>
      </c>
      <c r="B150" s="55" t="s">
        <v>546</v>
      </c>
      <c r="C150" s="55" t="s">
        <v>812</v>
      </c>
      <c r="D150" s="56" t="s">
        <v>538</v>
      </c>
      <c r="E150" s="106">
        <v>0.12790000000000001</v>
      </c>
      <c r="F150" s="107"/>
    </row>
    <row r="151" spans="1:6" s="27" customFormat="1" x14ac:dyDescent="0.4">
      <c r="A151" s="57"/>
      <c r="B151" s="58"/>
      <c r="C151" s="59" t="s">
        <v>11</v>
      </c>
      <c r="D151" s="58" t="s">
        <v>12</v>
      </c>
      <c r="E151" s="60">
        <v>808.01</v>
      </c>
      <c r="F151" s="60">
        <v>103.3445</v>
      </c>
    </row>
    <row r="152" spans="1:6" s="27" customFormat="1" x14ac:dyDescent="0.4">
      <c r="A152" s="61"/>
      <c r="B152" s="62"/>
      <c r="C152" s="63" t="s">
        <v>539</v>
      </c>
      <c r="D152" s="62" t="s">
        <v>13</v>
      </c>
      <c r="E152" s="64">
        <v>0.27</v>
      </c>
      <c r="F152" s="64">
        <v>3.4533000000000001E-2</v>
      </c>
    </row>
    <row r="153" spans="1:6" s="27" customFormat="1" x14ac:dyDescent="0.4">
      <c r="A153" s="65"/>
      <c r="B153" s="66"/>
      <c r="C153" s="67" t="s">
        <v>141</v>
      </c>
      <c r="D153" s="66" t="s">
        <v>13</v>
      </c>
      <c r="E153" s="68">
        <v>49.09</v>
      </c>
      <c r="F153" s="68">
        <v>6.2786</v>
      </c>
    </row>
    <row r="154" spans="1:6" s="27" customFormat="1" x14ac:dyDescent="0.4">
      <c r="A154" s="65"/>
      <c r="B154" s="66"/>
      <c r="C154" s="67" t="s">
        <v>18</v>
      </c>
      <c r="D154" s="66" t="s">
        <v>13</v>
      </c>
      <c r="E154" s="68">
        <v>70.81</v>
      </c>
      <c r="F154" s="68">
        <v>9.0565999999999995</v>
      </c>
    </row>
    <row r="155" spans="1:6" s="27" customFormat="1" x14ac:dyDescent="0.4">
      <c r="A155" s="65"/>
      <c r="B155" s="66"/>
      <c r="C155" s="67" t="s">
        <v>19</v>
      </c>
      <c r="D155" s="66" t="s">
        <v>13</v>
      </c>
      <c r="E155" s="68">
        <v>1.23</v>
      </c>
      <c r="F155" s="68">
        <v>0.15731700000000001</v>
      </c>
    </row>
    <row r="156" spans="1:6" s="27" customFormat="1" x14ac:dyDescent="0.4">
      <c r="A156" s="69"/>
      <c r="B156" s="70"/>
      <c r="C156" s="71" t="s">
        <v>527</v>
      </c>
      <c r="D156" s="70" t="s">
        <v>23</v>
      </c>
      <c r="E156" s="73">
        <v>102</v>
      </c>
      <c r="F156" s="72">
        <v>13.0458</v>
      </c>
    </row>
    <row r="157" spans="1:6" s="27" customFormat="1" x14ac:dyDescent="0.4">
      <c r="A157" s="76"/>
      <c r="B157" s="77"/>
      <c r="C157" s="78" t="s">
        <v>20</v>
      </c>
      <c r="D157" s="77" t="s">
        <v>14</v>
      </c>
      <c r="E157" s="79">
        <v>3.6999999999999998E-2</v>
      </c>
      <c r="F157" s="79">
        <v>4.7320000000000001E-3</v>
      </c>
    </row>
    <row r="158" spans="1:6" s="27" customFormat="1" ht="23.25" x14ac:dyDescent="0.4">
      <c r="A158" s="76"/>
      <c r="B158" s="77"/>
      <c r="C158" s="78" t="s">
        <v>549</v>
      </c>
      <c r="D158" s="77" t="s">
        <v>23</v>
      </c>
      <c r="E158" s="79">
        <v>0.81</v>
      </c>
      <c r="F158" s="79">
        <v>0.103599</v>
      </c>
    </row>
    <row r="159" spans="1:6" s="27" customFormat="1" x14ac:dyDescent="0.4">
      <c r="A159" s="76"/>
      <c r="B159" s="77"/>
      <c r="C159" s="78" t="s">
        <v>550</v>
      </c>
      <c r="D159" s="77" t="s">
        <v>21</v>
      </c>
      <c r="E159" s="79">
        <v>77.900000000000006</v>
      </c>
      <c r="F159" s="79">
        <v>9.9634</v>
      </c>
    </row>
    <row r="160" spans="1:6" s="27" customFormat="1" x14ac:dyDescent="0.4">
      <c r="A160" s="76"/>
      <c r="B160" s="77"/>
      <c r="C160" s="78" t="s">
        <v>551</v>
      </c>
      <c r="D160" s="77" t="s">
        <v>14</v>
      </c>
      <c r="E160" s="79">
        <v>0.3</v>
      </c>
      <c r="F160" s="79">
        <v>3.8370000000000001E-2</v>
      </c>
    </row>
    <row r="161" spans="1:6" s="27" customFormat="1" ht="46.5" x14ac:dyDescent="0.4">
      <c r="A161" s="54" t="s">
        <v>82</v>
      </c>
      <c r="B161" s="55" t="s">
        <v>536</v>
      </c>
      <c r="C161" s="55" t="s">
        <v>813</v>
      </c>
      <c r="D161" s="56" t="s">
        <v>538</v>
      </c>
      <c r="E161" s="106">
        <v>2.258</v>
      </c>
      <c r="F161" s="107"/>
    </row>
    <row r="162" spans="1:6" s="27" customFormat="1" x14ac:dyDescent="0.4">
      <c r="A162" s="57"/>
      <c r="B162" s="58"/>
      <c r="C162" s="59" t="s">
        <v>11</v>
      </c>
      <c r="D162" s="58" t="s">
        <v>12</v>
      </c>
      <c r="E162" s="74">
        <v>1319</v>
      </c>
      <c r="F162" s="60">
        <v>2978.3020000000001</v>
      </c>
    </row>
    <row r="163" spans="1:6" s="27" customFormat="1" x14ac:dyDescent="0.4">
      <c r="A163" s="61"/>
      <c r="B163" s="62"/>
      <c r="C163" s="63" t="s">
        <v>539</v>
      </c>
      <c r="D163" s="62" t="s">
        <v>13</v>
      </c>
      <c r="E163" s="64">
        <v>0.99</v>
      </c>
      <c r="F163" s="64">
        <v>2.2353999999999998</v>
      </c>
    </row>
    <row r="164" spans="1:6" s="27" customFormat="1" x14ac:dyDescent="0.4">
      <c r="A164" s="65"/>
      <c r="B164" s="66"/>
      <c r="C164" s="67" t="s">
        <v>141</v>
      </c>
      <c r="D164" s="66" t="s">
        <v>13</v>
      </c>
      <c r="E164" s="68">
        <v>71.8</v>
      </c>
      <c r="F164" s="68">
        <v>162.12440000000001</v>
      </c>
    </row>
    <row r="165" spans="1:6" s="27" customFormat="1" x14ac:dyDescent="0.4">
      <c r="A165" s="65"/>
      <c r="B165" s="66"/>
      <c r="C165" s="67" t="s">
        <v>18</v>
      </c>
      <c r="D165" s="66" t="s">
        <v>13</v>
      </c>
      <c r="E165" s="68">
        <v>1.79</v>
      </c>
      <c r="F165" s="68">
        <v>4.0418000000000003</v>
      </c>
    </row>
    <row r="166" spans="1:6" s="27" customFormat="1" x14ac:dyDescent="0.4">
      <c r="A166" s="65"/>
      <c r="B166" s="66"/>
      <c r="C166" s="67" t="s">
        <v>540</v>
      </c>
      <c r="D166" s="66" t="s">
        <v>13</v>
      </c>
      <c r="E166" s="68">
        <v>0.6</v>
      </c>
      <c r="F166" s="68">
        <v>1.3548</v>
      </c>
    </row>
    <row r="167" spans="1:6" s="27" customFormat="1" x14ac:dyDescent="0.4">
      <c r="A167" s="65"/>
      <c r="B167" s="66"/>
      <c r="C167" s="67" t="s">
        <v>107</v>
      </c>
      <c r="D167" s="66" t="s">
        <v>13</v>
      </c>
      <c r="E167" s="68">
        <v>7.6</v>
      </c>
      <c r="F167" s="68">
        <v>17.160799999999998</v>
      </c>
    </row>
    <row r="168" spans="1:6" s="27" customFormat="1" x14ac:dyDescent="0.4">
      <c r="A168" s="65"/>
      <c r="B168" s="66"/>
      <c r="C168" s="67" t="s">
        <v>71</v>
      </c>
      <c r="D168" s="66" t="s">
        <v>13</v>
      </c>
      <c r="E168" s="68">
        <v>2.7</v>
      </c>
      <c r="F168" s="68">
        <v>6.0965999999999996</v>
      </c>
    </row>
    <row r="169" spans="1:6" s="27" customFormat="1" x14ac:dyDescent="0.4">
      <c r="A169" s="69"/>
      <c r="B169" s="70"/>
      <c r="C169" s="71" t="s">
        <v>617</v>
      </c>
      <c r="D169" s="70" t="s">
        <v>23</v>
      </c>
      <c r="E169" s="72">
        <v>101.5</v>
      </c>
      <c r="F169" s="72">
        <v>229.18700000000001</v>
      </c>
    </row>
    <row r="170" spans="1:6" s="27" customFormat="1" x14ac:dyDescent="0.4">
      <c r="A170" s="76"/>
      <c r="B170" s="77"/>
      <c r="C170" s="78" t="s">
        <v>20</v>
      </c>
      <c r="D170" s="77" t="s">
        <v>14</v>
      </c>
      <c r="E170" s="79">
        <v>2.3E-2</v>
      </c>
      <c r="F170" s="79">
        <v>5.1934000000000001E-2</v>
      </c>
    </row>
    <row r="171" spans="1:6" s="27" customFormat="1" x14ac:dyDescent="0.4">
      <c r="A171" s="76"/>
      <c r="B171" s="77"/>
      <c r="C171" s="78" t="s">
        <v>541</v>
      </c>
      <c r="D171" s="77" t="s">
        <v>14</v>
      </c>
      <c r="E171" s="79">
        <v>3.7999999999999999E-2</v>
      </c>
      <c r="F171" s="79">
        <v>8.5804000000000005E-2</v>
      </c>
    </row>
    <row r="172" spans="1:6" s="27" customFormat="1" x14ac:dyDescent="0.4">
      <c r="A172" s="76"/>
      <c r="B172" s="77"/>
      <c r="C172" s="78" t="s">
        <v>108</v>
      </c>
      <c r="D172" s="77" t="s">
        <v>14</v>
      </c>
      <c r="E172" s="79">
        <v>7.4999999999999997E-3</v>
      </c>
      <c r="F172" s="79">
        <v>1.6934999999999999E-2</v>
      </c>
    </row>
    <row r="173" spans="1:6" s="27" customFormat="1" x14ac:dyDescent="0.4">
      <c r="A173" s="76"/>
      <c r="B173" s="77"/>
      <c r="C173" s="78" t="s">
        <v>542</v>
      </c>
      <c r="D173" s="77" t="s">
        <v>543</v>
      </c>
      <c r="E173" s="79">
        <v>32.6</v>
      </c>
      <c r="F173" s="79">
        <v>73.610799999999998</v>
      </c>
    </row>
    <row r="174" spans="1:6" s="27" customFormat="1" x14ac:dyDescent="0.4">
      <c r="A174" s="76"/>
      <c r="B174" s="77"/>
      <c r="C174" s="78" t="s">
        <v>544</v>
      </c>
      <c r="D174" s="77" t="s">
        <v>23</v>
      </c>
      <c r="E174" s="79">
        <v>0.04</v>
      </c>
      <c r="F174" s="79">
        <v>9.0319999999999998E-2</v>
      </c>
    </row>
    <row r="175" spans="1:6" s="27" customFormat="1" x14ac:dyDescent="0.4">
      <c r="A175" s="76"/>
      <c r="B175" s="77"/>
      <c r="C175" s="78" t="s">
        <v>545</v>
      </c>
      <c r="D175" s="77" t="s">
        <v>21</v>
      </c>
      <c r="E175" s="79">
        <v>33.33</v>
      </c>
      <c r="F175" s="79">
        <v>75.259100000000004</v>
      </c>
    </row>
    <row r="176" spans="1:6" s="27" customFormat="1" ht="23.25" x14ac:dyDescent="0.4">
      <c r="A176" s="54" t="s">
        <v>83</v>
      </c>
      <c r="B176" s="55" t="s">
        <v>34</v>
      </c>
      <c r="C176" s="55" t="s">
        <v>518</v>
      </c>
      <c r="D176" s="56" t="s">
        <v>14</v>
      </c>
      <c r="E176" s="104">
        <v>4.024</v>
      </c>
      <c r="F176" s="105"/>
    </row>
    <row r="177" spans="1:6" s="27" customFormat="1" ht="23.25" x14ac:dyDescent="0.4">
      <c r="A177" s="54" t="s">
        <v>84</v>
      </c>
      <c r="B177" s="55" t="s">
        <v>34</v>
      </c>
      <c r="C177" s="55" t="s">
        <v>559</v>
      </c>
      <c r="D177" s="56" t="s">
        <v>14</v>
      </c>
      <c r="E177" s="104">
        <v>6.1959999999999997</v>
      </c>
      <c r="F177" s="105"/>
    </row>
    <row r="178" spans="1:6" s="27" customFormat="1" ht="23.25" x14ac:dyDescent="0.4">
      <c r="A178" s="54" t="s">
        <v>85</v>
      </c>
      <c r="B178" s="55" t="s">
        <v>34</v>
      </c>
      <c r="C178" s="55" t="s">
        <v>558</v>
      </c>
      <c r="D178" s="56" t="s">
        <v>14</v>
      </c>
      <c r="E178" s="104">
        <v>2.0019999999999998</v>
      </c>
      <c r="F178" s="105"/>
    </row>
    <row r="179" spans="1:6" s="27" customFormat="1" ht="46.5" x14ac:dyDescent="0.4">
      <c r="A179" s="54" t="s">
        <v>86</v>
      </c>
      <c r="B179" s="55" t="s">
        <v>555</v>
      </c>
      <c r="C179" s="55" t="s">
        <v>814</v>
      </c>
      <c r="D179" s="56" t="s">
        <v>538</v>
      </c>
      <c r="E179" s="106">
        <v>4.2039</v>
      </c>
      <c r="F179" s="107"/>
    </row>
    <row r="180" spans="1:6" s="27" customFormat="1" x14ac:dyDescent="0.4">
      <c r="A180" s="57"/>
      <c r="B180" s="58"/>
      <c r="C180" s="59" t="s">
        <v>11</v>
      </c>
      <c r="D180" s="58" t="s">
        <v>12</v>
      </c>
      <c r="E180" s="60">
        <v>1491.07</v>
      </c>
      <c r="F180" s="60">
        <v>6268.3091999999997</v>
      </c>
    </row>
    <row r="181" spans="1:6" s="27" customFormat="1" x14ac:dyDescent="0.4">
      <c r="A181" s="61"/>
      <c r="B181" s="62"/>
      <c r="C181" s="63" t="s">
        <v>141</v>
      </c>
      <c r="D181" s="62" t="s">
        <v>13</v>
      </c>
      <c r="E181" s="64">
        <v>74.02</v>
      </c>
      <c r="F181" s="64">
        <v>311.17270000000002</v>
      </c>
    </row>
    <row r="182" spans="1:6" s="27" customFormat="1" x14ac:dyDescent="0.4">
      <c r="A182" s="65"/>
      <c r="B182" s="66"/>
      <c r="C182" s="67" t="s">
        <v>556</v>
      </c>
      <c r="D182" s="66" t="s">
        <v>13</v>
      </c>
      <c r="E182" s="68">
        <v>45.933999999999997</v>
      </c>
      <c r="F182" s="68">
        <v>193.1019</v>
      </c>
    </row>
    <row r="183" spans="1:6" s="27" customFormat="1" x14ac:dyDescent="0.4">
      <c r="A183" s="65"/>
      <c r="B183" s="66"/>
      <c r="C183" s="67" t="s">
        <v>18</v>
      </c>
      <c r="D183" s="66" t="s">
        <v>13</v>
      </c>
      <c r="E183" s="68">
        <v>2.17</v>
      </c>
      <c r="F183" s="68">
        <v>9.1225000000000005</v>
      </c>
    </row>
    <row r="184" spans="1:6" s="27" customFormat="1" x14ac:dyDescent="0.4">
      <c r="A184" s="65"/>
      <c r="B184" s="66"/>
      <c r="C184" s="67" t="s">
        <v>19</v>
      </c>
      <c r="D184" s="66" t="s">
        <v>13</v>
      </c>
      <c r="E184" s="68">
        <v>3.26</v>
      </c>
      <c r="F184" s="68">
        <v>13.704700000000001</v>
      </c>
    </row>
    <row r="185" spans="1:6" s="27" customFormat="1" x14ac:dyDescent="0.4">
      <c r="A185" s="69"/>
      <c r="B185" s="70"/>
      <c r="C185" s="71" t="s">
        <v>617</v>
      </c>
      <c r="D185" s="70" t="s">
        <v>23</v>
      </c>
      <c r="E185" s="72">
        <v>101.5</v>
      </c>
      <c r="F185" s="72">
        <v>426.69589999999999</v>
      </c>
    </row>
    <row r="186" spans="1:6" s="27" customFormat="1" x14ac:dyDescent="0.4">
      <c r="A186" s="76"/>
      <c r="B186" s="77"/>
      <c r="C186" s="78" t="s">
        <v>20</v>
      </c>
      <c r="D186" s="77" t="s">
        <v>14</v>
      </c>
      <c r="E186" s="79">
        <v>6.2E-2</v>
      </c>
      <c r="F186" s="79">
        <v>0.26064199999999998</v>
      </c>
    </row>
    <row r="187" spans="1:6" s="27" customFormat="1" x14ac:dyDescent="0.4">
      <c r="A187" s="76"/>
      <c r="B187" s="77"/>
      <c r="C187" s="78" t="s">
        <v>541</v>
      </c>
      <c r="D187" s="77" t="s">
        <v>14</v>
      </c>
      <c r="E187" s="79">
        <v>0.03</v>
      </c>
      <c r="F187" s="79">
        <v>0.12611700000000001</v>
      </c>
    </row>
    <row r="188" spans="1:6" s="27" customFormat="1" ht="23.25" x14ac:dyDescent="0.4">
      <c r="A188" s="76"/>
      <c r="B188" s="77"/>
      <c r="C188" s="78" t="s">
        <v>557</v>
      </c>
      <c r="D188" s="77" t="s">
        <v>23</v>
      </c>
      <c r="E188" s="80">
        <v>2</v>
      </c>
      <c r="F188" s="79">
        <v>8.4077999999999999</v>
      </c>
    </row>
    <row r="189" spans="1:6" s="27" customFormat="1" ht="23.25" x14ac:dyDescent="0.4">
      <c r="A189" s="54" t="s">
        <v>87</v>
      </c>
      <c r="B189" s="55" t="s">
        <v>34</v>
      </c>
      <c r="C189" s="55" t="s">
        <v>518</v>
      </c>
      <c r="D189" s="56" t="s">
        <v>14</v>
      </c>
      <c r="E189" s="104">
        <v>20.628</v>
      </c>
      <c r="F189" s="105"/>
    </row>
    <row r="190" spans="1:6" s="27" customFormat="1" ht="23.25" x14ac:dyDescent="0.4">
      <c r="A190" s="54" t="s">
        <v>88</v>
      </c>
      <c r="B190" s="55" t="s">
        <v>34</v>
      </c>
      <c r="C190" s="55" t="s">
        <v>559</v>
      </c>
      <c r="D190" s="56" t="s">
        <v>14</v>
      </c>
      <c r="E190" s="104">
        <v>5.2569999999999997</v>
      </c>
      <c r="F190" s="105"/>
    </row>
    <row r="191" spans="1:6" s="27" customFormat="1" ht="23.25" x14ac:dyDescent="0.4">
      <c r="A191" s="54" t="s">
        <v>89</v>
      </c>
      <c r="B191" s="55" t="s">
        <v>34</v>
      </c>
      <c r="C191" s="55" t="s">
        <v>517</v>
      </c>
      <c r="D191" s="56" t="s">
        <v>14</v>
      </c>
      <c r="E191" s="104">
        <v>1.6419999999999999</v>
      </c>
      <c r="F191" s="105"/>
    </row>
    <row r="192" spans="1:6" s="27" customFormat="1" ht="23.25" x14ac:dyDescent="0.4">
      <c r="A192" s="54" t="s">
        <v>90</v>
      </c>
      <c r="B192" s="55" t="s">
        <v>34</v>
      </c>
      <c r="C192" s="55" t="s">
        <v>558</v>
      </c>
      <c r="D192" s="56" t="s">
        <v>14</v>
      </c>
      <c r="E192" s="104">
        <v>7.3650000000000002</v>
      </c>
      <c r="F192" s="105"/>
    </row>
    <row r="193" spans="1:6" s="27" customFormat="1" x14ac:dyDescent="0.4">
      <c r="A193" s="54" t="s">
        <v>91</v>
      </c>
      <c r="B193" s="55" t="s">
        <v>34</v>
      </c>
      <c r="C193" s="55" t="s">
        <v>815</v>
      </c>
      <c r="D193" s="56" t="s">
        <v>14</v>
      </c>
      <c r="E193" s="104">
        <v>0.112</v>
      </c>
      <c r="F193" s="105"/>
    </row>
    <row r="194" spans="1:6" s="27" customFormat="1" ht="23.25" x14ac:dyDescent="0.4">
      <c r="A194" s="54" t="s">
        <v>92</v>
      </c>
      <c r="B194" s="55" t="s">
        <v>34</v>
      </c>
      <c r="C194" s="55" t="s">
        <v>564</v>
      </c>
      <c r="D194" s="56" t="s">
        <v>14</v>
      </c>
      <c r="E194" s="104">
        <v>1.66</v>
      </c>
      <c r="F194" s="105"/>
    </row>
    <row r="195" spans="1:6" s="27" customFormat="1" x14ac:dyDescent="0.4">
      <c r="A195" s="51"/>
      <c r="B195" s="52"/>
      <c r="C195" s="110" t="s">
        <v>816</v>
      </c>
      <c r="D195" s="110"/>
      <c r="E195" s="52"/>
      <c r="F195" s="53"/>
    </row>
    <row r="196" spans="1:6" s="27" customFormat="1" ht="46.5" x14ac:dyDescent="0.4">
      <c r="A196" s="54" t="s">
        <v>93</v>
      </c>
      <c r="B196" s="55" t="s">
        <v>560</v>
      </c>
      <c r="C196" s="55" t="s">
        <v>561</v>
      </c>
      <c r="D196" s="56" t="s">
        <v>525</v>
      </c>
      <c r="E196" s="106">
        <v>0.46</v>
      </c>
      <c r="F196" s="107"/>
    </row>
    <row r="197" spans="1:6" s="27" customFormat="1" x14ac:dyDescent="0.4">
      <c r="A197" s="57"/>
      <c r="B197" s="58"/>
      <c r="C197" s="59" t="s">
        <v>11</v>
      </c>
      <c r="D197" s="58" t="s">
        <v>12</v>
      </c>
      <c r="E197" s="74">
        <v>274</v>
      </c>
      <c r="F197" s="60">
        <v>126.04</v>
      </c>
    </row>
    <row r="198" spans="1:6" s="27" customFormat="1" x14ac:dyDescent="0.4">
      <c r="A198" s="61"/>
      <c r="B198" s="62"/>
      <c r="C198" s="63" t="s">
        <v>556</v>
      </c>
      <c r="D198" s="62" t="s">
        <v>13</v>
      </c>
      <c r="E198" s="64">
        <v>51.21</v>
      </c>
      <c r="F198" s="64">
        <v>23.5566</v>
      </c>
    </row>
    <row r="199" spans="1:6" s="27" customFormat="1" x14ac:dyDescent="0.4">
      <c r="A199" s="65"/>
      <c r="B199" s="66"/>
      <c r="C199" s="67" t="s">
        <v>19</v>
      </c>
      <c r="D199" s="66" t="s">
        <v>13</v>
      </c>
      <c r="E199" s="68">
        <v>2.81</v>
      </c>
      <c r="F199" s="68">
        <v>1.2926</v>
      </c>
    </row>
    <row r="200" spans="1:6" s="27" customFormat="1" x14ac:dyDescent="0.4">
      <c r="A200" s="69"/>
      <c r="B200" s="70"/>
      <c r="C200" s="71" t="s">
        <v>548</v>
      </c>
      <c r="D200" s="70" t="s">
        <v>23</v>
      </c>
      <c r="E200" s="72">
        <v>6.5</v>
      </c>
      <c r="F200" s="72">
        <v>2.99</v>
      </c>
    </row>
    <row r="201" spans="1:6" s="27" customFormat="1" x14ac:dyDescent="0.4">
      <c r="A201" s="76"/>
      <c r="B201" s="77"/>
      <c r="C201" s="78" t="s">
        <v>528</v>
      </c>
      <c r="D201" s="77" t="s">
        <v>23</v>
      </c>
      <c r="E201" s="79">
        <v>2.06</v>
      </c>
      <c r="F201" s="79">
        <v>0.9476</v>
      </c>
    </row>
    <row r="202" spans="1:6" s="27" customFormat="1" x14ac:dyDescent="0.4">
      <c r="A202" s="76"/>
      <c r="B202" s="77"/>
      <c r="C202" s="78" t="s">
        <v>20</v>
      </c>
      <c r="D202" s="77" t="s">
        <v>14</v>
      </c>
      <c r="E202" s="79">
        <v>1.2999999999999999E-3</v>
      </c>
      <c r="F202" s="79">
        <v>5.9800000000000001E-4</v>
      </c>
    </row>
    <row r="203" spans="1:6" s="27" customFormat="1" ht="23.25" x14ac:dyDescent="0.4">
      <c r="A203" s="76"/>
      <c r="B203" s="77"/>
      <c r="C203" s="78" t="s">
        <v>562</v>
      </c>
      <c r="D203" s="77" t="s">
        <v>23</v>
      </c>
      <c r="E203" s="79">
        <v>0.33</v>
      </c>
      <c r="F203" s="79">
        <v>0.15179999999999999</v>
      </c>
    </row>
    <row r="204" spans="1:6" s="27" customFormat="1" ht="34.9" x14ac:dyDescent="0.4">
      <c r="A204" s="76"/>
      <c r="B204" s="77"/>
      <c r="C204" s="78" t="s">
        <v>563</v>
      </c>
      <c r="D204" s="77" t="s">
        <v>14</v>
      </c>
      <c r="E204" s="79">
        <v>0.43</v>
      </c>
      <c r="F204" s="79">
        <v>0.1978</v>
      </c>
    </row>
    <row r="205" spans="1:6" s="27" customFormat="1" x14ac:dyDescent="0.4">
      <c r="A205" s="54" t="s">
        <v>94</v>
      </c>
      <c r="B205" s="55" t="s">
        <v>34</v>
      </c>
      <c r="C205" s="55" t="s">
        <v>817</v>
      </c>
      <c r="D205" s="56" t="s">
        <v>30</v>
      </c>
      <c r="E205" s="108">
        <v>2</v>
      </c>
      <c r="F205" s="109"/>
    </row>
    <row r="206" spans="1:6" s="27" customFormat="1" x14ac:dyDescent="0.4">
      <c r="A206" s="54" t="s">
        <v>95</v>
      </c>
      <c r="B206" s="55" t="s">
        <v>34</v>
      </c>
      <c r="C206" s="55" t="s">
        <v>818</v>
      </c>
      <c r="D206" s="56" t="s">
        <v>30</v>
      </c>
      <c r="E206" s="108">
        <v>3</v>
      </c>
      <c r="F206" s="109"/>
    </row>
    <row r="207" spans="1:6" s="27" customFormat="1" x14ac:dyDescent="0.4">
      <c r="A207" s="54" t="s">
        <v>96</v>
      </c>
      <c r="B207" s="55" t="s">
        <v>34</v>
      </c>
      <c r="C207" s="55" t="s">
        <v>819</v>
      </c>
      <c r="D207" s="56" t="s">
        <v>30</v>
      </c>
      <c r="E207" s="108">
        <v>9</v>
      </c>
      <c r="F207" s="109"/>
    </row>
    <row r="208" spans="1:6" s="27" customFormat="1" x14ac:dyDescent="0.4">
      <c r="A208" s="54" t="s">
        <v>97</v>
      </c>
      <c r="B208" s="55" t="s">
        <v>34</v>
      </c>
      <c r="C208" s="55" t="s">
        <v>820</v>
      </c>
      <c r="D208" s="56" t="s">
        <v>30</v>
      </c>
      <c r="E208" s="108">
        <v>4</v>
      </c>
      <c r="F208" s="109"/>
    </row>
    <row r="209" spans="1:6" s="27" customFormat="1" x14ac:dyDescent="0.4">
      <c r="A209" s="54" t="s">
        <v>98</v>
      </c>
      <c r="B209" s="55" t="s">
        <v>34</v>
      </c>
      <c r="C209" s="55" t="s">
        <v>821</v>
      </c>
      <c r="D209" s="56" t="s">
        <v>30</v>
      </c>
      <c r="E209" s="108">
        <v>12</v>
      </c>
      <c r="F209" s="109"/>
    </row>
    <row r="210" spans="1:6" s="27" customFormat="1" x14ac:dyDescent="0.4">
      <c r="A210" s="54" t="s">
        <v>99</v>
      </c>
      <c r="B210" s="55" t="s">
        <v>34</v>
      </c>
      <c r="C210" s="55" t="s">
        <v>822</v>
      </c>
      <c r="D210" s="56" t="s">
        <v>30</v>
      </c>
      <c r="E210" s="108">
        <v>16</v>
      </c>
      <c r="F210" s="109"/>
    </row>
    <row r="211" spans="1:6" s="27" customFormat="1" ht="46.5" x14ac:dyDescent="0.4">
      <c r="A211" s="54" t="s">
        <v>100</v>
      </c>
      <c r="B211" s="55" t="s">
        <v>546</v>
      </c>
      <c r="C211" s="55" t="s">
        <v>547</v>
      </c>
      <c r="D211" s="56" t="s">
        <v>538</v>
      </c>
      <c r="E211" s="106">
        <v>0.17480000000000001</v>
      </c>
      <c r="F211" s="107"/>
    </row>
    <row r="212" spans="1:6" s="27" customFormat="1" x14ac:dyDescent="0.4">
      <c r="A212" s="57"/>
      <c r="B212" s="58"/>
      <c r="C212" s="59" t="s">
        <v>11</v>
      </c>
      <c r="D212" s="58" t="s">
        <v>12</v>
      </c>
      <c r="E212" s="60">
        <v>808.01</v>
      </c>
      <c r="F212" s="60">
        <v>141.24010000000001</v>
      </c>
    </row>
    <row r="213" spans="1:6" s="27" customFormat="1" x14ac:dyDescent="0.4">
      <c r="A213" s="61"/>
      <c r="B213" s="62"/>
      <c r="C213" s="63" t="s">
        <v>539</v>
      </c>
      <c r="D213" s="62" t="s">
        <v>13</v>
      </c>
      <c r="E213" s="64">
        <v>0.27</v>
      </c>
      <c r="F213" s="64">
        <v>4.7196000000000002E-2</v>
      </c>
    </row>
    <row r="214" spans="1:6" s="27" customFormat="1" x14ac:dyDescent="0.4">
      <c r="A214" s="65"/>
      <c r="B214" s="66"/>
      <c r="C214" s="67" t="s">
        <v>141</v>
      </c>
      <c r="D214" s="66" t="s">
        <v>13</v>
      </c>
      <c r="E214" s="68">
        <v>49.09</v>
      </c>
      <c r="F214" s="68">
        <v>8.5808999999999997</v>
      </c>
    </row>
    <row r="215" spans="1:6" s="27" customFormat="1" x14ac:dyDescent="0.4">
      <c r="A215" s="65"/>
      <c r="B215" s="66"/>
      <c r="C215" s="67" t="s">
        <v>18</v>
      </c>
      <c r="D215" s="66" t="s">
        <v>13</v>
      </c>
      <c r="E215" s="68">
        <v>70.81</v>
      </c>
      <c r="F215" s="68">
        <v>12.377599999999999</v>
      </c>
    </row>
    <row r="216" spans="1:6" s="27" customFormat="1" x14ac:dyDescent="0.4">
      <c r="A216" s="65"/>
      <c r="B216" s="66"/>
      <c r="C216" s="67" t="s">
        <v>19</v>
      </c>
      <c r="D216" s="66" t="s">
        <v>13</v>
      </c>
      <c r="E216" s="68">
        <v>1.23</v>
      </c>
      <c r="F216" s="68">
        <v>0.215004</v>
      </c>
    </row>
    <row r="217" spans="1:6" s="27" customFormat="1" x14ac:dyDescent="0.4">
      <c r="A217" s="69"/>
      <c r="B217" s="70"/>
      <c r="C217" s="71" t="s">
        <v>548</v>
      </c>
      <c r="D217" s="70" t="s">
        <v>23</v>
      </c>
      <c r="E217" s="73">
        <v>102</v>
      </c>
      <c r="F217" s="72">
        <v>17.829599999999999</v>
      </c>
    </row>
    <row r="218" spans="1:6" s="27" customFormat="1" x14ac:dyDescent="0.4">
      <c r="A218" s="76"/>
      <c r="B218" s="77"/>
      <c r="C218" s="78" t="s">
        <v>20</v>
      </c>
      <c r="D218" s="77" t="s">
        <v>14</v>
      </c>
      <c r="E218" s="79">
        <v>3.6999999999999998E-2</v>
      </c>
      <c r="F218" s="79">
        <v>6.4679999999999998E-3</v>
      </c>
    </row>
    <row r="219" spans="1:6" s="27" customFormat="1" ht="23.25" x14ac:dyDescent="0.4">
      <c r="A219" s="76"/>
      <c r="B219" s="77"/>
      <c r="C219" s="78" t="s">
        <v>549</v>
      </c>
      <c r="D219" s="77" t="s">
        <v>23</v>
      </c>
      <c r="E219" s="79">
        <v>0.81</v>
      </c>
      <c r="F219" s="79">
        <v>0.14158799999999999</v>
      </c>
    </row>
    <row r="220" spans="1:6" s="27" customFormat="1" x14ac:dyDescent="0.4">
      <c r="A220" s="76"/>
      <c r="B220" s="77"/>
      <c r="C220" s="78" t="s">
        <v>550</v>
      </c>
      <c r="D220" s="77" t="s">
        <v>21</v>
      </c>
      <c r="E220" s="79">
        <v>77.900000000000006</v>
      </c>
      <c r="F220" s="79">
        <v>13.616899999999999</v>
      </c>
    </row>
    <row r="221" spans="1:6" s="27" customFormat="1" x14ac:dyDescent="0.4">
      <c r="A221" s="76"/>
      <c r="B221" s="77"/>
      <c r="C221" s="78" t="s">
        <v>551</v>
      </c>
      <c r="D221" s="77" t="s">
        <v>14</v>
      </c>
      <c r="E221" s="79">
        <v>0.3</v>
      </c>
      <c r="F221" s="79">
        <v>5.2440000000000001E-2</v>
      </c>
    </row>
    <row r="222" spans="1:6" s="27" customFormat="1" ht="23.25" x14ac:dyDescent="0.4">
      <c r="A222" s="54" t="s">
        <v>101</v>
      </c>
      <c r="B222" s="55" t="s">
        <v>34</v>
      </c>
      <c r="C222" s="55" t="s">
        <v>520</v>
      </c>
      <c r="D222" s="56" t="s">
        <v>14</v>
      </c>
      <c r="E222" s="104">
        <v>0.247</v>
      </c>
      <c r="F222" s="105"/>
    </row>
    <row r="223" spans="1:6" s="27" customFormat="1" ht="23.25" x14ac:dyDescent="0.4">
      <c r="A223" s="54" t="s">
        <v>102</v>
      </c>
      <c r="B223" s="55" t="s">
        <v>34</v>
      </c>
      <c r="C223" s="55" t="s">
        <v>564</v>
      </c>
      <c r="D223" s="56" t="s">
        <v>14</v>
      </c>
      <c r="E223" s="104">
        <v>0.88700000000000001</v>
      </c>
      <c r="F223" s="105"/>
    </row>
    <row r="224" spans="1:6" s="27" customFormat="1" ht="23.25" x14ac:dyDescent="0.4">
      <c r="A224" s="54" t="s">
        <v>103</v>
      </c>
      <c r="B224" s="55" t="s">
        <v>34</v>
      </c>
      <c r="C224" s="55" t="s">
        <v>625</v>
      </c>
      <c r="D224" s="56" t="s">
        <v>14</v>
      </c>
      <c r="E224" s="104">
        <v>2.1600000000000001E-2</v>
      </c>
      <c r="F224" s="105"/>
    </row>
    <row r="225" spans="1:6" s="27" customFormat="1" x14ac:dyDescent="0.4">
      <c r="A225" s="51"/>
      <c r="B225" s="52"/>
      <c r="C225" s="110" t="s">
        <v>823</v>
      </c>
      <c r="D225" s="110"/>
      <c r="E225" s="52"/>
      <c r="F225" s="53"/>
    </row>
    <row r="226" spans="1:6" s="27" customFormat="1" ht="46.5" x14ac:dyDescent="0.4">
      <c r="A226" s="54" t="s">
        <v>104</v>
      </c>
      <c r="B226" s="55" t="s">
        <v>824</v>
      </c>
      <c r="C226" s="55" t="s">
        <v>825</v>
      </c>
      <c r="D226" s="56" t="s">
        <v>538</v>
      </c>
      <c r="E226" s="106">
        <v>0.15240000000000001</v>
      </c>
      <c r="F226" s="107"/>
    </row>
    <row r="227" spans="1:6" s="27" customFormat="1" x14ac:dyDescent="0.4">
      <c r="A227" s="57"/>
      <c r="B227" s="58"/>
      <c r="C227" s="59" t="s">
        <v>11</v>
      </c>
      <c r="D227" s="58" t="s">
        <v>12</v>
      </c>
      <c r="E227" s="60">
        <v>591.86</v>
      </c>
      <c r="F227" s="60">
        <v>90.1995</v>
      </c>
    </row>
    <row r="228" spans="1:6" s="27" customFormat="1" x14ac:dyDescent="0.4">
      <c r="A228" s="61"/>
      <c r="B228" s="62"/>
      <c r="C228" s="63" t="s">
        <v>539</v>
      </c>
      <c r="D228" s="62" t="s">
        <v>13</v>
      </c>
      <c r="E228" s="64">
        <v>2.27</v>
      </c>
      <c r="F228" s="64">
        <v>0.34594799999999998</v>
      </c>
    </row>
    <row r="229" spans="1:6" s="27" customFormat="1" x14ac:dyDescent="0.4">
      <c r="A229" s="65"/>
      <c r="B229" s="66"/>
      <c r="C229" s="67" t="s">
        <v>141</v>
      </c>
      <c r="D229" s="66" t="s">
        <v>13</v>
      </c>
      <c r="E229" s="68">
        <v>34.26</v>
      </c>
      <c r="F229" s="68">
        <v>5.2211999999999996</v>
      </c>
    </row>
    <row r="230" spans="1:6" s="27" customFormat="1" x14ac:dyDescent="0.4">
      <c r="A230" s="65"/>
      <c r="B230" s="66"/>
      <c r="C230" s="67" t="s">
        <v>556</v>
      </c>
      <c r="D230" s="66" t="s">
        <v>13</v>
      </c>
      <c r="E230" s="68">
        <v>22.26</v>
      </c>
      <c r="F230" s="68">
        <v>3.3923999999999999</v>
      </c>
    </row>
    <row r="231" spans="1:6" s="27" customFormat="1" x14ac:dyDescent="0.4">
      <c r="A231" s="65"/>
      <c r="B231" s="66"/>
      <c r="C231" s="67" t="s">
        <v>18</v>
      </c>
      <c r="D231" s="66" t="s">
        <v>13</v>
      </c>
      <c r="E231" s="68">
        <v>1.02</v>
      </c>
      <c r="F231" s="68">
        <v>0.155448</v>
      </c>
    </row>
    <row r="232" spans="1:6" s="27" customFormat="1" x14ac:dyDescent="0.4">
      <c r="A232" s="65"/>
      <c r="B232" s="66"/>
      <c r="C232" s="67" t="s">
        <v>540</v>
      </c>
      <c r="D232" s="66" t="s">
        <v>13</v>
      </c>
      <c r="E232" s="68">
        <v>1.01</v>
      </c>
      <c r="F232" s="68">
        <v>0.15392400000000001</v>
      </c>
    </row>
    <row r="233" spans="1:6" s="27" customFormat="1" x14ac:dyDescent="0.4">
      <c r="A233" s="65"/>
      <c r="B233" s="66"/>
      <c r="C233" s="67" t="s">
        <v>71</v>
      </c>
      <c r="D233" s="66" t="s">
        <v>13</v>
      </c>
      <c r="E233" s="68">
        <v>1.55</v>
      </c>
      <c r="F233" s="68">
        <v>0.23622000000000001</v>
      </c>
    </row>
    <row r="234" spans="1:6" s="27" customFormat="1" x14ac:dyDescent="0.4">
      <c r="A234" s="69"/>
      <c r="B234" s="70"/>
      <c r="C234" s="71" t="s">
        <v>503</v>
      </c>
      <c r="D234" s="70" t="s">
        <v>23</v>
      </c>
      <c r="E234" s="72">
        <v>101.5</v>
      </c>
      <c r="F234" s="72">
        <v>15.4686</v>
      </c>
    </row>
    <row r="235" spans="1:6" s="27" customFormat="1" x14ac:dyDescent="0.4">
      <c r="A235" s="76"/>
      <c r="B235" s="77"/>
      <c r="C235" s="78" t="s">
        <v>74</v>
      </c>
      <c r="D235" s="77" t="s">
        <v>23</v>
      </c>
      <c r="E235" s="79">
        <v>0.128</v>
      </c>
      <c r="F235" s="79">
        <v>1.9507E-2</v>
      </c>
    </row>
    <row r="236" spans="1:6" s="27" customFormat="1" x14ac:dyDescent="0.4">
      <c r="A236" s="76"/>
      <c r="B236" s="77"/>
      <c r="C236" s="78" t="s">
        <v>20</v>
      </c>
      <c r="D236" s="77" t="s">
        <v>14</v>
      </c>
      <c r="E236" s="79">
        <v>1.2E-2</v>
      </c>
      <c r="F236" s="79">
        <v>1.8289999999999999E-3</v>
      </c>
    </row>
    <row r="237" spans="1:6" s="27" customFormat="1" x14ac:dyDescent="0.4">
      <c r="A237" s="76"/>
      <c r="B237" s="77"/>
      <c r="C237" s="78" t="s">
        <v>602</v>
      </c>
      <c r="D237" s="77" t="s">
        <v>14</v>
      </c>
      <c r="E237" s="79">
        <v>8.7999999999999995E-2</v>
      </c>
      <c r="F237" s="79">
        <v>1.3410999999999999E-2</v>
      </c>
    </row>
    <row r="238" spans="1:6" s="27" customFormat="1" x14ac:dyDescent="0.4">
      <c r="A238" s="76"/>
      <c r="B238" s="77"/>
      <c r="C238" s="78" t="s">
        <v>541</v>
      </c>
      <c r="D238" s="77" t="s">
        <v>14</v>
      </c>
      <c r="E238" s="79">
        <v>8.6999999999999994E-3</v>
      </c>
      <c r="F238" s="79">
        <v>1.3259999999999999E-3</v>
      </c>
    </row>
    <row r="239" spans="1:6" s="27" customFormat="1" x14ac:dyDescent="0.4">
      <c r="A239" s="76"/>
      <c r="B239" s="77"/>
      <c r="C239" s="78" t="s">
        <v>603</v>
      </c>
      <c r="D239" s="77" t="s">
        <v>23</v>
      </c>
      <c r="E239" s="79">
        <v>0.75</v>
      </c>
      <c r="F239" s="79">
        <v>0.1143</v>
      </c>
    </row>
    <row r="240" spans="1:6" s="27" customFormat="1" x14ac:dyDescent="0.4">
      <c r="A240" s="76"/>
      <c r="B240" s="77"/>
      <c r="C240" s="78" t="s">
        <v>604</v>
      </c>
      <c r="D240" s="77" t="s">
        <v>23</v>
      </c>
      <c r="E240" s="79">
        <v>0.1</v>
      </c>
      <c r="F240" s="79">
        <v>1.524E-2</v>
      </c>
    </row>
    <row r="241" spans="1:6" s="27" customFormat="1" ht="23.25" x14ac:dyDescent="0.4">
      <c r="A241" s="76"/>
      <c r="B241" s="77"/>
      <c r="C241" s="78" t="s">
        <v>549</v>
      </c>
      <c r="D241" s="77" t="s">
        <v>23</v>
      </c>
      <c r="E241" s="79">
        <v>0.31</v>
      </c>
      <c r="F241" s="79">
        <v>4.7244000000000001E-2</v>
      </c>
    </row>
    <row r="242" spans="1:6" s="27" customFormat="1" x14ac:dyDescent="0.4">
      <c r="A242" s="76"/>
      <c r="B242" s="77"/>
      <c r="C242" s="78" t="s">
        <v>545</v>
      </c>
      <c r="D242" s="77" t="s">
        <v>21</v>
      </c>
      <c r="E242" s="79">
        <v>32.65</v>
      </c>
      <c r="F242" s="79">
        <v>4.9759000000000002</v>
      </c>
    </row>
    <row r="243" spans="1:6" s="27" customFormat="1" x14ac:dyDescent="0.4">
      <c r="A243" s="76"/>
      <c r="B243" s="77"/>
      <c r="C243" s="78" t="s">
        <v>314</v>
      </c>
      <c r="D243" s="77" t="s">
        <v>21</v>
      </c>
      <c r="E243" s="79">
        <v>21.5</v>
      </c>
      <c r="F243" s="79">
        <v>3.2766000000000002</v>
      </c>
    </row>
    <row r="244" spans="1:6" s="27" customFormat="1" ht="23.25" x14ac:dyDescent="0.4">
      <c r="A244" s="54" t="s">
        <v>105</v>
      </c>
      <c r="B244" s="55" t="s">
        <v>34</v>
      </c>
      <c r="C244" s="55" t="s">
        <v>564</v>
      </c>
      <c r="D244" s="56" t="s">
        <v>14</v>
      </c>
      <c r="E244" s="104">
        <v>1.1659999999999999</v>
      </c>
      <c r="F244" s="105"/>
    </row>
    <row r="245" spans="1:6" s="27" customFormat="1" ht="23.25" x14ac:dyDescent="0.4">
      <c r="A245" s="54" t="s">
        <v>111</v>
      </c>
      <c r="B245" s="55" t="s">
        <v>34</v>
      </c>
      <c r="C245" s="55" t="s">
        <v>518</v>
      </c>
      <c r="D245" s="56" t="s">
        <v>14</v>
      </c>
      <c r="E245" s="104">
        <v>0.316</v>
      </c>
      <c r="F245" s="105"/>
    </row>
    <row r="246" spans="1:6" s="27" customFormat="1" ht="23.25" x14ac:dyDescent="0.4">
      <c r="A246" s="54" t="s">
        <v>112</v>
      </c>
      <c r="B246" s="55" t="s">
        <v>34</v>
      </c>
      <c r="C246" s="55" t="s">
        <v>558</v>
      </c>
      <c r="D246" s="56" t="s">
        <v>14</v>
      </c>
      <c r="E246" s="104">
        <v>0.182</v>
      </c>
      <c r="F246" s="105"/>
    </row>
    <row r="247" spans="1:6" s="27" customFormat="1" ht="23.25" x14ac:dyDescent="0.4">
      <c r="A247" s="54" t="s">
        <v>113</v>
      </c>
      <c r="B247" s="55" t="s">
        <v>34</v>
      </c>
      <c r="C247" s="55" t="s">
        <v>517</v>
      </c>
      <c r="D247" s="56" t="s">
        <v>14</v>
      </c>
      <c r="E247" s="104">
        <v>0.252</v>
      </c>
      <c r="F247" s="105"/>
    </row>
    <row r="248" spans="1:6" s="27" customFormat="1" x14ac:dyDescent="0.4">
      <c r="A248" s="51"/>
      <c r="B248" s="52"/>
      <c r="C248" s="110" t="s">
        <v>826</v>
      </c>
      <c r="D248" s="110"/>
      <c r="E248" s="52"/>
      <c r="F248" s="53"/>
    </row>
    <row r="249" spans="1:6" s="27" customFormat="1" ht="46.5" x14ac:dyDescent="0.4">
      <c r="A249" s="54" t="s">
        <v>114</v>
      </c>
      <c r="B249" s="55" t="s">
        <v>560</v>
      </c>
      <c r="C249" s="55" t="s">
        <v>561</v>
      </c>
      <c r="D249" s="56" t="s">
        <v>525</v>
      </c>
      <c r="E249" s="106">
        <v>0.92</v>
      </c>
      <c r="F249" s="107"/>
    </row>
    <row r="250" spans="1:6" s="27" customFormat="1" x14ac:dyDescent="0.4">
      <c r="A250" s="57"/>
      <c r="B250" s="58"/>
      <c r="C250" s="59" t="s">
        <v>11</v>
      </c>
      <c r="D250" s="58" t="s">
        <v>12</v>
      </c>
      <c r="E250" s="74">
        <v>274</v>
      </c>
      <c r="F250" s="60">
        <v>252.08</v>
      </c>
    </row>
    <row r="251" spans="1:6" s="27" customFormat="1" x14ac:dyDescent="0.4">
      <c r="A251" s="61"/>
      <c r="B251" s="62"/>
      <c r="C251" s="63" t="s">
        <v>556</v>
      </c>
      <c r="D251" s="62" t="s">
        <v>13</v>
      </c>
      <c r="E251" s="64">
        <v>51.21</v>
      </c>
      <c r="F251" s="64">
        <v>47.113199999999999</v>
      </c>
    </row>
    <row r="252" spans="1:6" s="27" customFormat="1" x14ac:dyDescent="0.4">
      <c r="A252" s="65"/>
      <c r="B252" s="66"/>
      <c r="C252" s="67" t="s">
        <v>19</v>
      </c>
      <c r="D252" s="66" t="s">
        <v>13</v>
      </c>
      <c r="E252" s="68">
        <v>2.81</v>
      </c>
      <c r="F252" s="68">
        <v>2.5851999999999999</v>
      </c>
    </row>
    <row r="253" spans="1:6" s="27" customFormat="1" x14ac:dyDescent="0.4">
      <c r="A253" s="69"/>
      <c r="B253" s="70"/>
      <c r="C253" s="71" t="s">
        <v>548</v>
      </c>
      <c r="D253" s="70" t="s">
        <v>23</v>
      </c>
      <c r="E253" s="72">
        <v>6.5</v>
      </c>
      <c r="F253" s="72">
        <v>5.98</v>
      </c>
    </row>
    <row r="254" spans="1:6" s="27" customFormat="1" x14ac:dyDescent="0.4">
      <c r="A254" s="76"/>
      <c r="B254" s="77"/>
      <c r="C254" s="78" t="s">
        <v>528</v>
      </c>
      <c r="D254" s="77" t="s">
        <v>23</v>
      </c>
      <c r="E254" s="79">
        <v>2.06</v>
      </c>
      <c r="F254" s="79">
        <v>1.8952</v>
      </c>
    </row>
    <row r="255" spans="1:6" s="27" customFormat="1" x14ac:dyDescent="0.4">
      <c r="A255" s="76"/>
      <c r="B255" s="77"/>
      <c r="C255" s="78" t="s">
        <v>20</v>
      </c>
      <c r="D255" s="77" t="s">
        <v>14</v>
      </c>
      <c r="E255" s="79">
        <v>1.2999999999999999E-3</v>
      </c>
      <c r="F255" s="79">
        <v>1.196E-3</v>
      </c>
    </row>
    <row r="256" spans="1:6" s="27" customFormat="1" ht="23.25" x14ac:dyDescent="0.4">
      <c r="A256" s="76"/>
      <c r="B256" s="77"/>
      <c r="C256" s="78" t="s">
        <v>562</v>
      </c>
      <c r="D256" s="77" t="s">
        <v>23</v>
      </c>
      <c r="E256" s="79">
        <v>0.33</v>
      </c>
      <c r="F256" s="79">
        <v>0.30359999999999998</v>
      </c>
    </row>
    <row r="257" spans="1:6" s="27" customFormat="1" ht="34.9" x14ac:dyDescent="0.4">
      <c r="A257" s="76"/>
      <c r="B257" s="77"/>
      <c r="C257" s="78" t="s">
        <v>563</v>
      </c>
      <c r="D257" s="77" t="s">
        <v>14</v>
      </c>
      <c r="E257" s="79">
        <v>0.43</v>
      </c>
      <c r="F257" s="79">
        <v>0.39560000000000001</v>
      </c>
    </row>
    <row r="258" spans="1:6" s="27" customFormat="1" x14ac:dyDescent="0.4">
      <c r="A258" s="54" t="s">
        <v>115</v>
      </c>
      <c r="B258" s="55" t="s">
        <v>34</v>
      </c>
      <c r="C258" s="55" t="s">
        <v>817</v>
      </c>
      <c r="D258" s="56" t="s">
        <v>30</v>
      </c>
      <c r="E258" s="108">
        <v>4</v>
      </c>
      <c r="F258" s="109"/>
    </row>
    <row r="259" spans="1:6" s="27" customFormat="1" x14ac:dyDescent="0.4">
      <c r="A259" s="54" t="s">
        <v>116</v>
      </c>
      <c r="B259" s="55" t="s">
        <v>34</v>
      </c>
      <c r="C259" s="55" t="s">
        <v>818</v>
      </c>
      <c r="D259" s="56" t="s">
        <v>30</v>
      </c>
      <c r="E259" s="108">
        <v>6</v>
      </c>
      <c r="F259" s="109"/>
    </row>
    <row r="260" spans="1:6" s="27" customFormat="1" x14ac:dyDescent="0.4">
      <c r="A260" s="54" t="s">
        <v>117</v>
      </c>
      <c r="B260" s="55" t="s">
        <v>34</v>
      </c>
      <c r="C260" s="55" t="s">
        <v>819</v>
      </c>
      <c r="D260" s="56" t="s">
        <v>30</v>
      </c>
      <c r="E260" s="108">
        <v>20</v>
      </c>
      <c r="F260" s="109"/>
    </row>
    <row r="261" spans="1:6" s="27" customFormat="1" x14ac:dyDescent="0.4">
      <c r="A261" s="54" t="s">
        <v>118</v>
      </c>
      <c r="B261" s="55" t="s">
        <v>34</v>
      </c>
      <c r="C261" s="55" t="s">
        <v>820</v>
      </c>
      <c r="D261" s="56" t="s">
        <v>30</v>
      </c>
      <c r="E261" s="108">
        <v>6</v>
      </c>
      <c r="F261" s="109"/>
    </row>
    <row r="262" spans="1:6" s="27" customFormat="1" x14ac:dyDescent="0.4">
      <c r="A262" s="54" t="s">
        <v>119</v>
      </c>
      <c r="B262" s="55" t="s">
        <v>34</v>
      </c>
      <c r="C262" s="55" t="s">
        <v>821</v>
      </c>
      <c r="D262" s="56" t="s">
        <v>30</v>
      </c>
      <c r="E262" s="108">
        <v>30</v>
      </c>
      <c r="F262" s="109"/>
    </row>
    <row r="263" spans="1:6" s="27" customFormat="1" x14ac:dyDescent="0.4">
      <c r="A263" s="54" t="s">
        <v>120</v>
      </c>
      <c r="B263" s="55" t="s">
        <v>34</v>
      </c>
      <c r="C263" s="55" t="s">
        <v>822</v>
      </c>
      <c r="D263" s="56" t="s">
        <v>30</v>
      </c>
      <c r="E263" s="108">
        <v>26</v>
      </c>
      <c r="F263" s="109"/>
    </row>
    <row r="264" spans="1:6" s="27" customFormat="1" ht="46.5" x14ac:dyDescent="0.4">
      <c r="A264" s="54" t="s">
        <v>121</v>
      </c>
      <c r="B264" s="55" t="s">
        <v>546</v>
      </c>
      <c r="C264" s="55" t="s">
        <v>547</v>
      </c>
      <c r="D264" s="56" t="s">
        <v>538</v>
      </c>
      <c r="E264" s="106">
        <v>0.35920000000000002</v>
      </c>
      <c r="F264" s="107"/>
    </row>
    <row r="265" spans="1:6" s="27" customFormat="1" x14ac:dyDescent="0.4">
      <c r="A265" s="57"/>
      <c r="B265" s="58"/>
      <c r="C265" s="59" t="s">
        <v>11</v>
      </c>
      <c r="D265" s="58" t="s">
        <v>12</v>
      </c>
      <c r="E265" s="60">
        <v>808.01</v>
      </c>
      <c r="F265" s="60">
        <v>290.23719999999997</v>
      </c>
    </row>
    <row r="266" spans="1:6" s="27" customFormat="1" x14ac:dyDescent="0.4">
      <c r="A266" s="61"/>
      <c r="B266" s="62"/>
      <c r="C266" s="63" t="s">
        <v>539</v>
      </c>
      <c r="D266" s="62" t="s">
        <v>13</v>
      </c>
      <c r="E266" s="64">
        <v>0.27</v>
      </c>
      <c r="F266" s="64">
        <v>9.6984000000000001E-2</v>
      </c>
    </row>
    <row r="267" spans="1:6" s="27" customFormat="1" x14ac:dyDescent="0.4">
      <c r="A267" s="65"/>
      <c r="B267" s="66"/>
      <c r="C267" s="67" t="s">
        <v>141</v>
      </c>
      <c r="D267" s="66" t="s">
        <v>13</v>
      </c>
      <c r="E267" s="68">
        <v>49.09</v>
      </c>
      <c r="F267" s="68">
        <v>17.633099999999999</v>
      </c>
    </row>
    <row r="268" spans="1:6" s="27" customFormat="1" x14ac:dyDescent="0.4">
      <c r="A268" s="65"/>
      <c r="B268" s="66"/>
      <c r="C268" s="67" t="s">
        <v>18</v>
      </c>
      <c r="D268" s="66" t="s">
        <v>13</v>
      </c>
      <c r="E268" s="68">
        <v>70.81</v>
      </c>
      <c r="F268" s="68">
        <v>25.434999999999999</v>
      </c>
    </row>
    <row r="269" spans="1:6" s="27" customFormat="1" x14ac:dyDescent="0.4">
      <c r="A269" s="65"/>
      <c r="B269" s="66"/>
      <c r="C269" s="67" t="s">
        <v>19</v>
      </c>
      <c r="D269" s="66" t="s">
        <v>13</v>
      </c>
      <c r="E269" s="68">
        <v>1.23</v>
      </c>
      <c r="F269" s="68">
        <v>0.44181599999999999</v>
      </c>
    </row>
    <row r="270" spans="1:6" s="27" customFormat="1" x14ac:dyDescent="0.4">
      <c r="A270" s="69"/>
      <c r="B270" s="70"/>
      <c r="C270" s="71" t="s">
        <v>548</v>
      </c>
      <c r="D270" s="70" t="s">
        <v>23</v>
      </c>
      <c r="E270" s="73">
        <v>102</v>
      </c>
      <c r="F270" s="72">
        <v>36.638399999999997</v>
      </c>
    </row>
    <row r="271" spans="1:6" s="27" customFormat="1" x14ac:dyDescent="0.4">
      <c r="A271" s="76"/>
      <c r="B271" s="77"/>
      <c r="C271" s="78" t="s">
        <v>20</v>
      </c>
      <c r="D271" s="77" t="s">
        <v>14</v>
      </c>
      <c r="E271" s="79">
        <v>3.6999999999999998E-2</v>
      </c>
      <c r="F271" s="79">
        <v>1.329E-2</v>
      </c>
    </row>
    <row r="272" spans="1:6" s="27" customFormat="1" ht="23.25" x14ac:dyDescent="0.4">
      <c r="A272" s="76"/>
      <c r="B272" s="77"/>
      <c r="C272" s="78" t="s">
        <v>549</v>
      </c>
      <c r="D272" s="77" t="s">
        <v>23</v>
      </c>
      <c r="E272" s="79">
        <v>0.81</v>
      </c>
      <c r="F272" s="79">
        <v>0.29095199999999999</v>
      </c>
    </row>
    <row r="273" spans="1:6" s="27" customFormat="1" x14ac:dyDescent="0.4">
      <c r="A273" s="76"/>
      <c r="B273" s="77"/>
      <c r="C273" s="78" t="s">
        <v>550</v>
      </c>
      <c r="D273" s="77" t="s">
        <v>21</v>
      </c>
      <c r="E273" s="79">
        <v>77.900000000000006</v>
      </c>
      <c r="F273" s="79">
        <v>27.9817</v>
      </c>
    </row>
    <row r="274" spans="1:6" s="27" customFormat="1" x14ac:dyDescent="0.4">
      <c r="A274" s="76"/>
      <c r="B274" s="77"/>
      <c r="C274" s="78" t="s">
        <v>551</v>
      </c>
      <c r="D274" s="77" t="s">
        <v>14</v>
      </c>
      <c r="E274" s="79">
        <v>0.3</v>
      </c>
      <c r="F274" s="79">
        <v>0.10775999999999999</v>
      </c>
    </row>
    <row r="275" spans="1:6" s="27" customFormat="1" ht="23.25" x14ac:dyDescent="0.4">
      <c r="A275" s="54" t="s">
        <v>122</v>
      </c>
      <c r="B275" s="55" t="s">
        <v>34</v>
      </c>
      <c r="C275" s="55" t="s">
        <v>520</v>
      </c>
      <c r="D275" s="56" t="s">
        <v>14</v>
      </c>
      <c r="E275" s="104">
        <v>0.53400000000000003</v>
      </c>
      <c r="F275" s="105"/>
    </row>
    <row r="276" spans="1:6" s="27" customFormat="1" ht="23.25" x14ac:dyDescent="0.4">
      <c r="A276" s="54" t="s">
        <v>123</v>
      </c>
      <c r="B276" s="55" t="s">
        <v>34</v>
      </c>
      <c r="C276" s="55" t="s">
        <v>564</v>
      </c>
      <c r="D276" s="56" t="s">
        <v>14</v>
      </c>
      <c r="E276" s="104">
        <v>1.8220000000000001</v>
      </c>
      <c r="F276" s="105"/>
    </row>
    <row r="277" spans="1:6" s="27" customFormat="1" ht="23.25" x14ac:dyDescent="0.4">
      <c r="A277" s="54" t="s">
        <v>124</v>
      </c>
      <c r="B277" s="55" t="s">
        <v>34</v>
      </c>
      <c r="C277" s="55" t="s">
        <v>625</v>
      </c>
      <c r="D277" s="56" t="s">
        <v>14</v>
      </c>
      <c r="E277" s="104">
        <v>0.1</v>
      </c>
      <c r="F277" s="105"/>
    </row>
    <row r="278" spans="1:6" s="27" customFormat="1" x14ac:dyDescent="0.4">
      <c r="A278" s="51"/>
      <c r="B278" s="52"/>
      <c r="C278" s="110" t="s">
        <v>823</v>
      </c>
      <c r="D278" s="110"/>
      <c r="E278" s="52"/>
      <c r="F278" s="53"/>
    </row>
    <row r="279" spans="1:6" s="27" customFormat="1" ht="46.5" x14ac:dyDescent="0.4">
      <c r="A279" s="54" t="s">
        <v>125</v>
      </c>
      <c r="B279" s="55" t="s">
        <v>824</v>
      </c>
      <c r="C279" s="55" t="s">
        <v>825</v>
      </c>
      <c r="D279" s="56" t="s">
        <v>538</v>
      </c>
      <c r="E279" s="106">
        <v>0.30480000000000002</v>
      </c>
      <c r="F279" s="107"/>
    </row>
    <row r="280" spans="1:6" s="27" customFormat="1" x14ac:dyDescent="0.4">
      <c r="A280" s="57"/>
      <c r="B280" s="58"/>
      <c r="C280" s="59" t="s">
        <v>11</v>
      </c>
      <c r="D280" s="58" t="s">
        <v>12</v>
      </c>
      <c r="E280" s="60">
        <v>591.86</v>
      </c>
      <c r="F280" s="60">
        <v>180.3989</v>
      </c>
    </row>
    <row r="281" spans="1:6" s="27" customFormat="1" x14ac:dyDescent="0.4">
      <c r="A281" s="61"/>
      <c r="B281" s="62"/>
      <c r="C281" s="63" t="s">
        <v>539</v>
      </c>
      <c r="D281" s="62" t="s">
        <v>13</v>
      </c>
      <c r="E281" s="64">
        <v>2.27</v>
      </c>
      <c r="F281" s="64">
        <v>0.69189599999999996</v>
      </c>
    </row>
    <row r="282" spans="1:6" s="27" customFormat="1" x14ac:dyDescent="0.4">
      <c r="A282" s="65"/>
      <c r="B282" s="66"/>
      <c r="C282" s="67" t="s">
        <v>141</v>
      </c>
      <c r="D282" s="66" t="s">
        <v>13</v>
      </c>
      <c r="E282" s="68">
        <v>34.26</v>
      </c>
      <c r="F282" s="68">
        <v>10.442399999999999</v>
      </c>
    </row>
    <row r="283" spans="1:6" s="27" customFormat="1" x14ac:dyDescent="0.4">
      <c r="A283" s="65"/>
      <c r="B283" s="66"/>
      <c r="C283" s="67" t="s">
        <v>556</v>
      </c>
      <c r="D283" s="66" t="s">
        <v>13</v>
      </c>
      <c r="E283" s="68">
        <v>22.26</v>
      </c>
      <c r="F283" s="68">
        <v>6.7847999999999997</v>
      </c>
    </row>
    <row r="284" spans="1:6" s="27" customFormat="1" x14ac:dyDescent="0.4">
      <c r="A284" s="65"/>
      <c r="B284" s="66"/>
      <c r="C284" s="67" t="s">
        <v>18</v>
      </c>
      <c r="D284" s="66" t="s">
        <v>13</v>
      </c>
      <c r="E284" s="68">
        <v>1.02</v>
      </c>
      <c r="F284" s="68">
        <v>0.31089600000000001</v>
      </c>
    </row>
    <row r="285" spans="1:6" s="27" customFormat="1" x14ac:dyDescent="0.4">
      <c r="A285" s="65"/>
      <c r="B285" s="66"/>
      <c r="C285" s="67" t="s">
        <v>540</v>
      </c>
      <c r="D285" s="66" t="s">
        <v>13</v>
      </c>
      <c r="E285" s="68">
        <v>1.01</v>
      </c>
      <c r="F285" s="68">
        <v>0.30784800000000001</v>
      </c>
    </row>
    <row r="286" spans="1:6" s="27" customFormat="1" x14ac:dyDescent="0.4">
      <c r="A286" s="65"/>
      <c r="B286" s="66"/>
      <c r="C286" s="67" t="s">
        <v>71</v>
      </c>
      <c r="D286" s="66" t="s">
        <v>13</v>
      </c>
      <c r="E286" s="68">
        <v>1.55</v>
      </c>
      <c r="F286" s="68">
        <v>0.47244000000000003</v>
      </c>
    </row>
    <row r="287" spans="1:6" s="27" customFormat="1" x14ac:dyDescent="0.4">
      <c r="A287" s="69"/>
      <c r="B287" s="70"/>
      <c r="C287" s="71" t="s">
        <v>503</v>
      </c>
      <c r="D287" s="70" t="s">
        <v>23</v>
      </c>
      <c r="E287" s="72">
        <v>101.5</v>
      </c>
      <c r="F287" s="72">
        <v>30.937200000000001</v>
      </c>
    </row>
    <row r="288" spans="1:6" s="27" customFormat="1" x14ac:dyDescent="0.4">
      <c r="A288" s="76"/>
      <c r="B288" s="77"/>
      <c r="C288" s="78" t="s">
        <v>74</v>
      </c>
      <c r="D288" s="77" t="s">
        <v>23</v>
      </c>
      <c r="E288" s="79">
        <v>0.128</v>
      </c>
      <c r="F288" s="79">
        <v>3.9014E-2</v>
      </c>
    </row>
    <row r="289" spans="1:6" s="27" customFormat="1" x14ac:dyDescent="0.4">
      <c r="A289" s="76"/>
      <c r="B289" s="77"/>
      <c r="C289" s="78" t="s">
        <v>20</v>
      </c>
      <c r="D289" s="77" t="s">
        <v>14</v>
      </c>
      <c r="E289" s="79">
        <v>1.2E-2</v>
      </c>
      <c r="F289" s="79">
        <v>3.6579999999999998E-3</v>
      </c>
    </row>
    <row r="290" spans="1:6" s="27" customFormat="1" x14ac:dyDescent="0.4">
      <c r="A290" s="76"/>
      <c r="B290" s="77"/>
      <c r="C290" s="78" t="s">
        <v>602</v>
      </c>
      <c r="D290" s="77" t="s">
        <v>14</v>
      </c>
      <c r="E290" s="79">
        <v>8.7999999999999995E-2</v>
      </c>
      <c r="F290" s="79">
        <v>2.6821999999999999E-2</v>
      </c>
    </row>
    <row r="291" spans="1:6" s="27" customFormat="1" x14ac:dyDescent="0.4">
      <c r="A291" s="76"/>
      <c r="B291" s="77"/>
      <c r="C291" s="78" t="s">
        <v>541</v>
      </c>
      <c r="D291" s="77" t="s">
        <v>14</v>
      </c>
      <c r="E291" s="79">
        <v>8.6999999999999994E-3</v>
      </c>
      <c r="F291" s="79">
        <v>2.6519999999999998E-3</v>
      </c>
    </row>
    <row r="292" spans="1:6" s="27" customFormat="1" x14ac:dyDescent="0.4">
      <c r="A292" s="76"/>
      <c r="B292" s="77"/>
      <c r="C292" s="78" t="s">
        <v>603</v>
      </c>
      <c r="D292" s="77" t="s">
        <v>23</v>
      </c>
      <c r="E292" s="79">
        <v>0.75</v>
      </c>
      <c r="F292" s="79">
        <v>0.2286</v>
      </c>
    </row>
    <row r="293" spans="1:6" s="27" customFormat="1" x14ac:dyDescent="0.4">
      <c r="A293" s="76"/>
      <c r="B293" s="77"/>
      <c r="C293" s="78" t="s">
        <v>604</v>
      </c>
      <c r="D293" s="77" t="s">
        <v>23</v>
      </c>
      <c r="E293" s="79">
        <v>0.1</v>
      </c>
      <c r="F293" s="79">
        <v>3.048E-2</v>
      </c>
    </row>
    <row r="294" spans="1:6" s="27" customFormat="1" ht="23.25" x14ac:dyDescent="0.4">
      <c r="A294" s="76"/>
      <c r="B294" s="77"/>
      <c r="C294" s="78" t="s">
        <v>549</v>
      </c>
      <c r="D294" s="77" t="s">
        <v>23</v>
      </c>
      <c r="E294" s="79">
        <v>0.31</v>
      </c>
      <c r="F294" s="79">
        <v>9.4488000000000003E-2</v>
      </c>
    </row>
    <row r="295" spans="1:6" s="27" customFormat="1" x14ac:dyDescent="0.4">
      <c r="A295" s="76"/>
      <c r="B295" s="77"/>
      <c r="C295" s="78" t="s">
        <v>545</v>
      </c>
      <c r="D295" s="77" t="s">
        <v>21</v>
      </c>
      <c r="E295" s="79">
        <v>32.65</v>
      </c>
      <c r="F295" s="79">
        <v>9.9517000000000007</v>
      </c>
    </row>
    <row r="296" spans="1:6" s="27" customFormat="1" x14ac:dyDescent="0.4">
      <c r="A296" s="76"/>
      <c r="B296" s="77"/>
      <c r="C296" s="78" t="s">
        <v>314</v>
      </c>
      <c r="D296" s="77" t="s">
        <v>21</v>
      </c>
      <c r="E296" s="79">
        <v>21.5</v>
      </c>
      <c r="F296" s="79">
        <v>6.5532000000000004</v>
      </c>
    </row>
    <row r="297" spans="1:6" s="27" customFormat="1" ht="23.25" x14ac:dyDescent="0.4">
      <c r="A297" s="54" t="s">
        <v>126</v>
      </c>
      <c r="B297" s="55" t="s">
        <v>34</v>
      </c>
      <c r="C297" s="55" t="s">
        <v>564</v>
      </c>
      <c r="D297" s="56" t="s">
        <v>14</v>
      </c>
      <c r="E297" s="104">
        <v>2.3319999999999999</v>
      </c>
      <c r="F297" s="105"/>
    </row>
    <row r="298" spans="1:6" s="27" customFormat="1" ht="23.25" x14ac:dyDescent="0.4">
      <c r="A298" s="54" t="s">
        <v>127</v>
      </c>
      <c r="B298" s="55" t="s">
        <v>34</v>
      </c>
      <c r="C298" s="55" t="s">
        <v>518</v>
      </c>
      <c r="D298" s="56" t="s">
        <v>14</v>
      </c>
      <c r="E298" s="104">
        <v>0.63200000000000001</v>
      </c>
      <c r="F298" s="105"/>
    </row>
    <row r="299" spans="1:6" s="27" customFormat="1" ht="23.25" x14ac:dyDescent="0.4">
      <c r="A299" s="54" t="s">
        <v>128</v>
      </c>
      <c r="B299" s="55" t="s">
        <v>34</v>
      </c>
      <c r="C299" s="55" t="s">
        <v>558</v>
      </c>
      <c r="D299" s="56" t="s">
        <v>14</v>
      </c>
      <c r="E299" s="104">
        <v>0.36399999999999999</v>
      </c>
      <c r="F299" s="105"/>
    </row>
    <row r="300" spans="1:6" s="27" customFormat="1" ht="23.25" x14ac:dyDescent="0.4">
      <c r="A300" s="54" t="s">
        <v>129</v>
      </c>
      <c r="B300" s="55" t="s">
        <v>34</v>
      </c>
      <c r="C300" s="55" t="s">
        <v>517</v>
      </c>
      <c r="D300" s="56" t="s">
        <v>14</v>
      </c>
      <c r="E300" s="104">
        <v>0.504</v>
      </c>
      <c r="F300" s="105"/>
    </row>
    <row r="301" spans="1:6" s="27" customFormat="1" x14ac:dyDescent="0.4">
      <c r="A301" s="51"/>
      <c r="B301" s="52"/>
      <c r="C301" s="110" t="s">
        <v>827</v>
      </c>
      <c r="D301" s="110"/>
      <c r="E301" s="52"/>
      <c r="F301" s="53"/>
    </row>
    <row r="302" spans="1:6" s="27" customFormat="1" ht="46.5" x14ac:dyDescent="0.4">
      <c r="A302" s="54" t="s">
        <v>130</v>
      </c>
      <c r="B302" s="55" t="s">
        <v>560</v>
      </c>
      <c r="C302" s="55" t="s">
        <v>561</v>
      </c>
      <c r="D302" s="56" t="s">
        <v>525</v>
      </c>
      <c r="E302" s="106">
        <v>0.92</v>
      </c>
      <c r="F302" s="107"/>
    </row>
    <row r="303" spans="1:6" s="27" customFormat="1" x14ac:dyDescent="0.4">
      <c r="A303" s="57"/>
      <c r="B303" s="58"/>
      <c r="C303" s="59" t="s">
        <v>11</v>
      </c>
      <c r="D303" s="58" t="s">
        <v>12</v>
      </c>
      <c r="E303" s="74">
        <v>274</v>
      </c>
      <c r="F303" s="60">
        <v>252.08</v>
      </c>
    </row>
    <row r="304" spans="1:6" s="27" customFormat="1" x14ac:dyDescent="0.4">
      <c r="A304" s="61"/>
      <c r="B304" s="62"/>
      <c r="C304" s="63" t="s">
        <v>556</v>
      </c>
      <c r="D304" s="62" t="s">
        <v>13</v>
      </c>
      <c r="E304" s="64">
        <v>51.21</v>
      </c>
      <c r="F304" s="64">
        <v>47.113199999999999</v>
      </c>
    </row>
    <row r="305" spans="1:6" s="27" customFormat="1" x14ac:dyDescent="0.4">
      <c r="A305" s="65"/>
      <c r="B305" s="66"/>
      <c r="C305" s="67" t="s">
        <v>19</v>
      </c>
      <c r="D305" s="66" t="s">
        <v>13</v>
      </c>
      <c r="E305" s="68">
        <v>2.81</v>
      </c>
      <c r="F305" s="68">
        <v>2.5851999999999999</v>
      </c>
    </row>
    <row r="306" spans="1:6" s="27" customFormat="1" x14ac:dyDescent="0.4">
      <c r="A306" s="69"/>
      <c r="B306" s="70"/>
      <c r="C306" s="71" t="s">
        <v>548</v>
      </c>
      <c r="D306" s="70" t="s">
        <v>23</v>
      </c>
      <c r="E306" s="72">
        <v>6.5</v>
      </c>
      <c r="F306" s="72">
        <v>5.98</v>
      </c>
    </row>
    <row r="307" spans="1:6" s="27" customFormat="1" x14ac:dyDescent="0.4">
      <c r="A307" s="76"/>
      <c r="B307" s="77"/>
      <c r="C307" s="78" t="s">
        <v>528</v>
      </c>
      <c r="D307" s="77" t="s">
        <v>23</v>
      </c>
      <c r="E307" s="79">
        <v>2.06</v>
      </c>
      <c r="F307" s="79">
        <v>1.8952</v>
      </c>
    </row>
    <row r="308" spans="1:6" s="27" customFormat="1" x14ac:dyDescent="0.4">
      <c r="A308" s="76"/>
      <c r="B308" s="77"/>
      <c r="C308" s="78" t="s">
        <v>20</v>
      </c>
      <c r="D308" s="77" t="s">
        <v>14</v>
      </c>
      <c r="E308" s="79">
        <v>1.2999999999999999E-3</v>
      </c>
      <c r="F308" s="79">
        <v>1.196E-3</v>
      </c>
    </row>
    <row r="309" spans="1:6" s="27" customFormat="1" ht="23.25" x14ac:dyDescent="0.4">
      <c r="A309" s="76"/>
      <c r="B309" s="77"/>
      <c r="C309" s="78" t="s">
        <v>562</v>
      </c>
      <c r="D309" s="77" t="s">
        <v>23</v>
      </c>
      <c r="E309" s="79">
        <v>0.33</v>
      </c>
      <c r="F309" s="79">
        <v>0.30359999999999998</v>
      </c>
    </row>
    <row r="310" spans="1:6" s="27" customFormat="1" ht="34.9" x14ac:dyDescent="0.4">
      <c r="A310" s="76"/>
      <c r="B310" s="77"/>
      <c r="C310" s="78" t="s">
        <v>563</v>
      </c>
      <c r="D310" s="77" t="s">
        <v>14</v>
      </c>
      <c r="E310" s="79">
        <v>0.43</v>
      </c>
      <c r="F310" s="79">
        <v>0.39560000000000001</v>
      </c>
    </row>
    <row r="311" spans="1:6" s="27" customFormat="1" x14ac:dyDescent="0.4">
      <c r="A311" s="54" t="s">
        <v>131</v>
      </c>
      <c r="B311" s="55" t="s">
        <v>34</v>
      </c>
      <c r="C311" s="55" t="s">
        <v>817</v>
      </c>
      <c r="D311" s="56" t="s">
        <v>30</v>
      </c>
      <c r="E311" s="108">
        <v>4</v>
      </c>
      <c r="F311" s="109"/>
    </row>
    <row r="312" spans="1:6" s="27" customFormat="1" x14ac:dyDescent="0.4">
      <c r="A312" s="54" t="s">
        <v>132</v>
      </c>
      <c r="B312" s="55" t="s">
        <v>34</v>
      </c>
      <c r="C312" s="55" t="s">
        <v>818</v>
      </c>
      <c r="D312" s="56" t="s">
        <v>30</v>
      </c>
      <c r="E312" s="108">
        <v>6</v>
      </c>
      <c r="F312" s="109"/>
    </row>
    <row r="313" spans="1:6" s="27" customFormat="1" x14ac:dyDescent="0.4">
      <c r="A313" s="54" t="s">
        <v>133</v>
      </c>
      <c r="B313" s="55" t="s">
        <v>34</v>
      </c>
      <c r="C313" s="55" t="s">
        <v>819</v>
      </c>
      <c r="D313" s="56" t="s">
        <v>30</v>
      </c>
      <c r="E313" s="108">
        <v>20</v>
      </c>
      <c r="F313" s="109"/>
    </row>
    <row r="314" spans="1:6" s="27" customFormat="1" x14ac:dyDescent="0.4">
      <c r="A314" s="54" t="s">
        <v>134</v>
      </c>
      <c r="B314" s="55" t="s">
        <v>34</v>
      </c>
      <c r="C314" s="55" t="s">
        <v>820</v>
      </c>
      <c r="D314" s="56" t="s">
        <v>30</v>
      </c>
      <c r="E314" s="108">
        <v>6</v>
      </c>
      <c r="F314" s="109"/>
    </row>
    <row r="315" spans="1:6" s="27" customFormat="1" x14ac:dyDescent="0.4">
      <c r="A315" s="54" t="s">
        <v>135</v>
      </c>
      <c r="B315" s="55" t="s">
        <v>34</v>
      </c>
      <c r="C315" s="55" t="s">
        <v>821</v>
      </c>
      <c r="D315" s="56" t="s">
        <v>30</v>
      </c>
      <c r="E315" s="108">
        <v>30</v>
      </c>
      <c r="F315" s="109"/>
    </row>
    <row r="316" spans="1:6" s="27" customFormat="1" x14ac:dyDescent="0.4">
      <c r="A316" s="54" t="s">
        <v>136</v>
      </c>
      <c r="B316" s="55" t="s">
        <v>34</v>
      </c>
      <c r="C316" s="55" t="s">
        <v>822</v>
      </c>
      <c r="D316" s="56" t="s">
        <v>30</v>
      </c>
      <c r="E316" s="108">
        <v>26</v>
      </c>
      <c r="F316" s="109"/>
    </row>
    <row r="317" spans="1:6" s="27" customFormat="1" ht="46.5" x14ac:dyDescent="0.4">
      <c r="A317" s="54" t="s">
        <v>138</v>
      </c>
      <c r="B317" s="55" t="s">
        <v>546</v>
      </c>
      <c r="C317" s="55" t="s">
        <v>547</v>
      </c>
      <c r="D317" s="56" t="s">
        <v>538</v>
      </c>
      <c r="E317" s="106">
        <v>0.35920000000000002</v>
      </c>
      <c r="F317" s="107"/>
    </row>
    <row r="318" spans="1:6" s="27" customFormat="1" x14ac:dyDescent="0.4">
      <c r="A318" s="57"/>
      <c r="B318" s="58"/>
      <c r="C318" s="59" t="s">
        <v>11</v>
      </c>
      <c r="D318" s="58" t="s">
        <v>12</v>
      </c>
      <c r="E318" s="60">
        <v>808.01</v>
      </c>
      <c r="F318" s="60">
        <v>290.23719999999997</v>
      </c>
    </row>
    <row r="319" spans="1:6" s="27" customFormat="1" x14ac:dyDescent="0.4">
      <c r="A319" s="61"/>
      <c r="B319" s="62"/>
      <c r="C319" s="63" t="s">
        <v>539</v>
      </c>
      <c r="D319" s="62" t="s">
        <v>13</v>
      </c>
      <c r="E319" s="64">
        <v>0.27</v>
      </c>
      <c r="F319" s="64">
        <v>9.6984000000000001E-2</v>
      </c>
    </row>
    <row r="320" spans="1:6" s="27" customFormat="1" x14ac:dyDescent="0.4">
      <c r="A320" s="65"/>
      <c r="B320" s="66"/>
      <c r="C320" s="67" t="s">
        <v>141</v>
      </c>
      <c r="D320" s="66" t="s">
        <v>13</v>
      </c>
      <c r="E320" s="68">
        <v>49.09</v>
      </c>
      <c r="F320" s="68">
        <v>17.633099999999999</v>
      </c>
    </row>
    <row r="321" spans="1:6" s="27" customFormat="1" x14ac:dyDescent="0.4">
      <c r="A321" s="65"/>
      <c r="B321" s="66"/>
      <c r="C321" s="67" t="s">
        <v>18</v>
      </c>
      <c r="D321" s="66" t="s">
        <v>13</v>
      </c>
      <c r="E321" s="68">
        <v>70.81</v>
      </c>
      <c r="F321" s="68">
        <v>25.434999999999999</v>
      </c>
    </row>
    <row r="322" spans="1:6" s="27" customFormat="1" x14ac:dyDescent="0.4">
      <c r="A322" s="65"/>
      <c r="B322" s="66"/>
      <c r="C322" s="67" t="s">
        <v>19</v>
      </c>
      <c r="D322" s="66" t="s">
        <v>13</v>
      </c>
      <c r="E322" s="68">
        <v>1.23</v>
      </c>
      <c r="F322" s="68">
        <v>0.44181599999999999</v>
      </c>
    </row>
    <row r="323" spans="1:6" s="27" customFormat="1" x14ac:dyDescent="0.4">
      <c r="A323" s="69"/>
      <c r="B323" s="70"/>
      <c r="C323" s="71" t="s">
        <v>548</v>
      </c>
      <c r="D323" s="70" t="s">
        <v>23</v>
      </c>
      <c r="E323" s="73">
        <v>102</v>
      </c>
      <c r="F323" s="72">
        <v>36.638399999999997</v>
      </c>
    </row>
    <row r="324" spans="1:6" s="27" customFormat="1" x14ac:dyDescent="0.4">
      <c r="A324" s="76"/>
      <c r="B324" s="77"/>
      <c r="C324" s="78" t="s">
        <v>20</v>
      </c>
      <c r="D324" s="77" t="s">
        <v>14</v>
      </c>
      <c r="E324" s="79">
        <v>3.6999999999999998E-2</v>
      </c>
      <c r="F324" s="79">
        <v>1.329E-2</v>
      </c>
    </row>
    <row r="325" spans="1:6" s="27" customFormat="1" ht="23.25" x14ac:dyDescent="0.4">
      <c r="A325" s="76"/>
      <c r="B325" s="77"/>
      <c r="C325" s="78" t="s">
        <v>549</v>
      </c>
      <c r="D325" s="77" t="s">
        <v>23</v>
      </c>
      <c r="E325" s="79">
        <v>0.81</v>
      </c>
      <c r="F325" s="79">
        <v>0.29095199999999999</v>
      </c>
    </row>
    <row r="326" spans="1:6" s="27" customFormat="1" x14ac:dyDescent="0.4">
      <c r="A326" s="76"/>
      <c r="B326" s="77"/>
      <c r="C326" s="78" t="s">
        <v>550</v>
      </c>
      <c r="D326" s="77" t="s">
        <v>21</v>
      </c>
      <c r="E326" s="79">
        <v>77.900000000000006</v>
      </c>
      <c r="F326" s="79">
        <v>27.9817</v>
      </c>
    </row>
    <row r="327" spans="1:6" s="27" customFormat="1" x14ac:dyDescent="0.4">
      <c r="A327" s="76"/>
      <c r="B327" s="77"/>
      <c r="C327" s="78" t="s">
        <v>551</v>
      </c>
      <c r="D327" s="77" t="s">
        <v>14</v>
      </c>
      <c r="E327" s="79">
        <v>0.3</v>
      </c>
      <c r="F327" s="79">
        <v>0.10775999999999999</v>
      </c>
    </row>
    <row r="328" spans="1:6" s="27" customFormat="1" ht="23.25" x14ac:dyDescent="0.4">
      <c r="A328" s="54" t="s">
        <v>143</v>
      </c>
      <c r="B328" s="55" t="s">
        <v>34</v>
      </c>
      <c r="C328" s="55" t="s">
        <v>520</v>
      </c>
      <c r="D328" s="56" t="s">
        <v>14</v>
      </c>
      <c r="E328" s="104">
        <v>0.53400000000000003</v>
      </c>
      <c r="F328" s="105"/>
    </row>
    <row r="329" spans="1:6" s="27" customFormat="1" ht="23.25" x14ac:dyDescent="0.4">
      <c r="A329" s="54" t="s">
        <v>144</v>
      </c>
      <c r="B329" s="55" t="s">
        <v>34</v>
      </c>
      <c r="C329" s="55" t="s">
        <v>564</v>
      </c>
      <c r="D329" s="56" t="s">
        <v>14</v>
      </c>
      <c r="E329" s="104">
        <v>1.8220000000000001</v>
      </c>
      <c r="F329" s="105"/>
    </row>
    <row r="330" spans="1:6" s="27" customFormat="1" ht="23.25" x14ac:dyDescent="0.4">
      <c r="A330" s="54" t="s">
        <v>145</v>
      </c>
      <c r="B330" s="55" t="s">
        <v>34</v>
      </c>
      <c r="C330" s="55" t="s">
        <v>625</v>
      </c>
      <c r="D330" s="56" t="s">
        <v>14</v>
      </c>
      <c r="E330" s="104">
        <v>0.1</v>
      </c>
      <c r="F330" s="105"/>
    </row>
    <row r="331" spans="1:6" s="27" customFormat="1" x14ac:dyDescent="0.4">
      <c r="A331" s="51"/>
      <c r="B331" s="52"/>
      <c r="C331" s="110" t="s">
        <v>823</v>
      </c>
      <c r="D331" s="110"/>
      <c r="E331" s="52"/>
      <c r="F331" s="53"/>
    </row>
    <row r="332" spans="1:6" s="27" customFormat="1" ht="46.5" x14ac:dyDescent="0.4">
      <c r="A332" s="54" t="s">
        <v>146</v>
      </c>
      <c r="B332" s="55" t="s">
        <v>824</v>
      </c>
      <c r="C332" s="55" t="s">
        <v>825</v>
      </c>
      <c r="D332" s="56" t="s">
        <v>538</v>
      </c>
      <c r="E332" s="106">
        <v>0.30480000000000002</v>
      </c>
      <c r="F332" s="107"/>
    </row>
    <row r="333" spans="1:6" s="27" customFormat="1" x14ac:dyDescent="0.4">
      <c r="A333" s="57"/>
      <c r="B333" s="58"/>
      <c r="C333" s="59" t="s">
        <v>11</v>
      </c>
      <c r="D333" s="58" t="s">
        <v>12</v>
      </c>
      <c r="E333" s="60">
        <v>591.86</v>
      </c>
      <c r="F333" s="60">
        <v>180.3989</v>
      </c>
    </row>
    <row r="334" spans="1:6" s="27" customFormat="1" x14ac:dyDescent="0.4">
      <c r="A334" s="61"/>
      <c r="B334" s="62"/>
      <c r="C334" s="63" t="s">
        <v>539</v>
      </c>
      <c r="D334" s="62" t="s">
        <v>13</v>
      </c>
      <c r="E334" s="64">
        <v>2.27</v>
      </c>
      <c r="F334" s="64">
        <v>0.69189599999999996</v>
      </c>
    </row>
    <row r="335" spans="1:6" s="27" customFormat="1" x14ac:dyDescent="0.4">
      <c r="A335" s="65"/>
      <c r="B335" s="66"/>
      <c r="C335" s="67" t="s">
        <v>141</v>
      </c>
      <c r="D335" s="66" t="s">
        <v>13</v>
      </c>
      <c r="E335" s="68">
        <v>34.26</v>
      </c>
      <c r="F335" s="68">
        <v>10.442399999999999</v>
      </c>
    </row>
    <row r="336" spans="1:6" s="27" customFormat="1" x14ac:dyDescent="0.4">
      <c r="A336" s="65"/>
      <c r="B336" s="66"/>
      <c r="C336" s="67" t="s">
        <v>556</v>
      </c>
      <c r="D336" s="66" t="s">
        <v>13</v>
      </c>
      <c r="E336" s="68">
        <v>22.26</v>
      </c>
      <c r="F336" s="68">
        <v>6.7847999999999997</v>
      </c>
    </row>
    <row r="337" spans="1:6" s="27" customFormat="1" x14ac:dyDescent="0.4">
      <c r="A337" s="65"/>
      <c r="B337" s="66"/>
      <c r="C337" s="67" t="s">
        <v>18</v>
      </c>
      <c r="D337" s="66" t="s">
        <v>13</v>
      </c>
      <c r="E337" s="68">
        <v>1.02</v>
      </c>
      <c r="F337" s="68">
        <v>0.31089600000000001</v>
      </c>
    </row>
    <row r="338" spans="1:6" s="27" customFormat="1" x14ac:dyDescent="0.4">
      <c r="A338" s="65"/>
      <c r="B338" s="66"/>
      <c r="C338" s="67" t="s">
        <v>540</v>
      </c>
      <c r="D338" s="66" t="s">
        <v>13</v>
      </c>
      <c r="E338" s="68">
        <v>1.01</v>
      </c>
      <c r="F338" s="68">
        <v>0.30784800000000001</v>
      </c>
    </row>
    <row r="339" spans="1:6" s="27" customFormat="1" x14ac:dyDescent="0.4">
      <c r="A339" s="65"/>
      <c r="B339" s="66"/>
      <c r="C339" s="67" t="s">
        <v>71</v>
      </c>
      <c r="D339" s="66" t="s">
        <v>13</v>
      </c>
      <c r="E339" s="68">
        <v>1.55</v>
      </c>
      <c r="F339" s="68">
        <v>0.47244000000000003</v>
      </c>
    </row>
    <row r="340" spans="1:6" s="27" customFormat="1" x14ac:dyDescent="0.4">
      <c r="A340" s="69"/>
      <c r="B340" s="70"/>
      <c r="C340" s="71" t="s">
        <v>503</v>
      </c>
      <c r="D340" s="70" t="s">
        <v>23</v>
      </c>
      <c r="E340" s="72">
        <v>101.5</v>
      </c>
      <c r="F340" s="72">
        <v>30.937200000000001</v>
      </c>
    </row>
    <row r="341" spans="1:6" s="27" customFormat="1" x14ac:dyDescent="0.4">
      <c r="A341" s="76"/>
      <c r="B341" s="77"/>
      <c r="C341" s="78" t="s">
        <v>74</v>
      </c>
      <c r="D341" s="77" t="s">
        <v>23</v>
      </c>
      <c r="E341" s="79">
        <v>0.128</v>
      </c>
      <c r="F341" s="79">
        <v>3.9014E-2</v>
      </c>
    </row>
    <row r="342" spans="1:6" s="27" customFormat="1" x14ac:dyDescent="0.4">
      <c r="A342" s="76"/>
      <c r="B342" s="77"/>
      <c r="C342" s="78" t="s">
        <v>20</v>
      </c>
      <c r="D342" s="77" t="s">
        <v>14</v>
      </c>
      <c r="E342" s="79">
        <v>1.2E-2</v>
      </c>
      <c r="F342" s="79">
        <v>3.6579999999999998E-3</v>
      </c>
    </row>
    <row r="343" spans="1:6" s="27" customFormat="1" x14ac:dyDescent="0.4">
      <c r="A343" s="76"/>
      <c r="B343" s="77"/>
      <c r="C343" s="78" t="s">
        <v>602</v>
      </c>
      <c r="D343" s="77" t="s">
        <v>14</v>
      </c>
      <c r="E343" s="79">
        <v>8.7999999999999995E-2</v>
      </c>
      <c r="F343" s="79">
        <v>2.6821999999999999E-2</v>
      </c>
    </row>
    <row r="344" spans="1:6" s="27" customFormat="1" x14ac:dyDescent="0.4">
      <c r="A344" s="76"/>
      <c r="B344" s="77"/>
      <c r="C344" s="78" t="s">
        <v>541</v>
      </c>
      <c r="D344" s="77" t="s">
        <v>14</v>
      </c>
      <c r="E344" s="79">
        <v>8.6999999999999994E-3</v>
      </c>
      <c r="F344" s="79">
        <v>2.6519999999999998E-3</v>
      </c>
    </row>
    <row r="345" spans="1:6" s="27" customFormat="1" x14ac:dyDescent="0.4">
      <c r="A345" s="76"/>
      <c r="B345" s="77"/>
      <c r="C345" s="78" t="s">
        <v>603</v>
      </c>
      <c r="D345" s="77" t="s">
        <v>23</v>
      </c>
      <c r="E345" s="79">
        <v>0.75</v>
      </c>
      <c r="F345" s="79">
        <v>0.2286</v>
      </c>
    </row>
    <row r="346" spans="1:6" s="27" customFormat="1" x14ac:dyDescent="0.4">
      <c r="A346" s="76"/>
      <c r="B346" s="77"/>
      <c r="C346" s="78" t="s">
        <v>604</v>
      </c>
      <c r="D346" s="77" t="s">
        <v>23</v>
      </c>
      <c r="E346" s="79">
        <v>0.1</v>
      </c>
      <c r="F346" s="79">
        <v>3.048E-2</v>
      </c>
    </row>
    <row r="347" spans="1:6" s="27" customFormat="1" ht="23.25" x14ac:dyDescent="0.4">
      <c r="A347" s="76"/>
      <c r="B347" s="77"/>
      <c r="C347" s="78" t="s">
        <v>549</v>
      </c>
      <c r="D347" s="77" t="s">
        <v>23</v>
      </c>
      <c r="E347" s="79">
        <v>0.31</v>
      </c>
      <c r="F347" s="79">
        <v>9.4488000000000003E-2</v>
      </c>
    </row>
    <row r="348" spans="1:6" s="27" customFormat="1" x14ac:dyDescent="0.4">
      <c r="A348" s="76"/>
      <c r="B348" s="77"/>
      <c r="C348" s="78" t="s">
        <v>545</v>
      </c>
      <c r="D348" s="77" t="s">
        <v>21</v>
      </c>
      <c r="E348" s="79">
        <v>32.65</v>
      </c>
      <c r="F348" s="79">
        <v>9.9517000000000007</v>
      </c>
    </row>
    <row r="349" spans="1:6" s="27" customFormat="1" x14ac:dyDescent="0.4">
      <c r="A349" s="76"/>
      <c r="B349" s="77"/>
      <c r="C349" s="78" t="s">
        <v>314</v>
      </c>
      <c r="D349" s="77" t="s">
        <v>21</v>
      </c>
      <c r="E349" s="79">
        <v>21.5</v>
      </c>
      <c r="F349" s="79">
        <v>6.5532000000000004</v>
      </c>
    </row>
    <row r="350" spans="1:6" s="27" customFormat="1" ht="23.25" x14ac:dyDescent="0.4">
      <c r="A350" s="54" t="s">
        <v>147</v>
      </c>
      <c r="B350" s="55" t="s">
        <v>34</v>
      </c>
      <c r="C350" s="55" t="s">
        <v>564</v>
      </c>
      <c r="D350" s="56" t="s">
        <v>14</v>
      </c>
      <c r="E350" s="104">
        <v>2.3319999999999999</v>
      </c>
      <c r="F350" s="105"/>
    </row>
    <row r="351" spans="1:6" s="27" customFormat="1" ht="23.25" x14ac:dyDescent="0.4">
      <c r="A351" s="54" t="s">
        <v>148</v>
      </c>
      <c r="B351" s="55" t="s">
        <v>34</v>
      </c>
      <c r="C351" s="55" t="s">
        <v>518</v>
      </c>
      <c r="D351" s="56" t="s">
        <v>14</v>
      </c>
      <c r="E351" s="104">
        <v>0.63200000000000001</v>
      </c>
      <c r="F351" s="105"/>
    </row>
    <row r="352" spans="1:6" s="27" customFormat="1" ht="23.25" x14ac:dyDescent="0.4">
      <c r="A352" s="54" t="s">
        <v>149</v>
      </c>
      <c r="B352" s="55" t="s">
        <v>34</v>
      </c>
      <c r="C352" s="55" t="s">
        <v>558</v>
      </c>
      <c r="D352" s="56" t="s">
        <v>14</v>
      </c>
      <c r="E352" s="104">
        <v>0.36399999999999999</v>
      </c>
      <c r="F352" s="105"/>
    </row>
    <row r="353" spans="1:6" s="27" customFormat="1" ht="23.25" x14ac:dyDescent="0.4">
      <c r="A353" s="54" t="s">
        <v>150</v>
      </c>
      <c r="B353" s="55" t="s">
        <v>34</v>
      </c>
      <c r="C353" s="55" t="s">
        <v>517</v>
      </c>
      <c r="D353" s="56" t="s">
        <v>14</v>
      </c>
      <c r="E353" s="104">
        <v>0.504</v>
      </c>
      <c r="F353" s="105"/>
    </row>
    <row r="354" spans="1:6" s="27" customFormat="1" x14ac:dyDescent="0.4">
      <c r="A354" s="51"/>
      <c r="B354" s="52"/>
      <c r="C354" s="110" t="s">
        <v>828</v>
      </c>
      <c r="D354" s="110"/>
      <c r="E354" s="52"/>
      <c r="F354" s="53"/>
    </row>
    <row r="355" spans="1:6" s="27" customFormat="1" ht="46.5" x14ac:dyDescent="0.4">
      <c r="A355" s="54" t="s">
        <v>151</v>
      </c>
      <c r="B355" s="55" t="s">
        <v>560</v>
      </c>
      <c r="C355" s="55" t="s">
        <v>561</v>
      </c>
      <c r="D355" s="56" t="s">
        <v>525</v>
      </c>
      <c r="E355" s="106">
        <v>1.84</v>
      </c>
      <c r="F355" s="107"/>
    </row>
    <row r="356" spans="1:6" s="27" customFormat="1" x14ac:dyDescent="0.4">
      <c r="A356" s="57"/>
      <c r="B356" s="58"/>
      <c r="C356" s="59" t="s">
        <v>11</v>
      </c>
      <c r="D356" s="58" t="s">
        <v>12</v>
      </c>
      <c r="E356" s="74">
        <v>274</v>
      </c>
      <c r="F356" s="60">
        <v>504.16</v>
      </c>
    </row>
    <row r="357" spans="1:6" s="27" customFormat="1" x14ac:dyDescent="0.4">
      <c r="A357" s="61"/>
      <c r="B357" s="62"/>
      <c r="C357" s="63" t="s">
        <v>556</v>
      </c>
      <c r="D357" s="62" t="s">
        <v>13</v>
      </c>
      <c r="E357" s="64">
        <v>51.21</v>
      </c>
      <c r="F357" s="64">
        <v>94.226399999999998</v>
      </c>
    </row>
    <row r="358" spans="1:6" s="27" customFormat="1" x14ac:dyDescent="0.4">
      <c r="A358" s="65"/>
      <c r="B358" s="66"/>
      <c r="C358" s="67" t="s">
        <v>19</v>
      </c>
      <c r="D358" s="66" t="s">
        <v>13</v>
      </c>
      <c r="E358" s="68">
        <v>2.81</v>
      </c>
      <c r="F358" s="68">
        <v>5.1703999999999999</v>
      </c>
    </row>
    <row r="359" spans="1:6" s="27" customFormat="1" x14ac:dyDescent="0.4">
      <c r="A359" s="69"/>
      <c r="B359" s="70"/>
      <c r="C359" s="71" t="s">
        <v>548</v>
      </c>
      <c r="D359" s="70" t="s">
        <v>23</v>
      </c>
      <c r="E359" s="72">
        <v>6.5</v>
      </c>
      <c r="F359" s="72">
        <v>11.96</v>
      </c>
    </row>
    <row r="360" spans="1:6" s="27" customFormat="1" x14ac:dyDescent="0.4">
      <c r="A360" s="76"/>
      <c r="B360" s="77"/>
      <c r="C360" s="78" t="s">
        <v>528</v>
      </c>
      <c r="D360" s="77" t="s">
        <v>23</v>
      </c>
      <c r="E360" s="79">
        <v>2.06</v>
      </c>
      <c r="F360" s="79">
        <v>3.7904</v>
      </c>
    </row>
    <row r="361" spans="1:6" s="27" customFormat="1" x14ac:dyDescent="0.4">
      <c r="A361" s="76"/>
      <c r="B361" s="77"/>
      <c r="C361" s="78" t="s">
        <v>20</v>
      </c>
      <c r="D361" s="77" t="s">
        <v>14</v>
      </c>
      <c r="E361" s="79">
        <v>1.2999999999999999E-3</v>
      </c>
      <c r="F361" s="79">
        <v>2.392E-3</v>
      </c>
    </row>
    <row r="362" spans="1:6" s="27" customFormat="1" ht="23.25" x14ac:dyDescent="0.4">
      <c r="A362" s="76"/>
      <c r="B362" s="77"/>
      <c r="C362" s="78" t="s">
        <v>562</v>
      </c>
      <c r="D362" s="77" t="s">
        <v>23</v>
      </c>
      <c r="E362" s="79">
        <v>0.33</v>
      </c>
      <c r="F362" s="79">
        <v>0.60719999999999996</v>
      </c>
    </row>
    <row r="363" spans="1:6" s="27" customFormat="1" ht="34.9" x14ac:dyDescent="0.4">
      <c r="A363" s="76"/>
      <c r="B363" s="77"/>
      <c r="C363" s="78" t="s">
        <v>563</v>
      </c>
      <c r="D363" s="77" t="s">
        <v>14</v>
      </c>
      <c r="E363" s="79">
        <v>0.43</v>
      </c>
      <c r="F363" s="79">
        <v>0.79120000000000001</v>
      </c>
    </row>
    <row r="364" spans="1:6" s="27" customFormat="1" x14ac:dyDescent="0.4">
      <c r="A364" s="54" t="s">
        <v>152</v>
      </c>
      <c r="B364" s="55" t="s">
        <v>34</v>
      </c>
      <c r="C364" s="55" t="s">
        <v>817</v>
      </c>
      <c r="D364" s="56" t="s">
        <v>30</v>
      </c>
      <c r="E364" s="108">
        <v>8</v>
      </c>
      <c r="F364" s="109"/>
    </row>
    <row r="365" spans="1:6" s="27" customFormat="1" x14ac:dyDescent="0.4">
      <c r="A365" s="54" t="s">
        <v>153</v>
      </c>
      <c r="B365" s="55" t="s">
        <v>34</v>
      </c>
      <c r="C365" s="55" t="s">
        <v>818</v>
      </c>
      <c r="D365" s="56" t="s">
        <v>30</v>
      </c>
      <c r="E365" s="108">
        <v>12</v>
      </c>
      <c r="F365" s="109"/>
    </row>
    <row r="366" spans="1:6" s="27" customFormat="1" x14ac:dyDescent="0.4">
      <c r="A366" s="54" t="s">
        <v>154</v>
      </c>
      <c r="B366" s="55" t="s">
        <v>34</v>
      </c>
      <c r="C366" s="55" t="s">
        <v>819</v>
      </c>
      <c r="D366" s="56" t="s">
        <v>30</v>
      </c>
      <c r="E366" s="108">
        <v>40</v>
      </c>
      <c r="F366" s="109"/>
    </row>
    <row r="367" spans="1:6" s="27" customFormat="1" x14ac:dyDescent="0.4">
      <c r="A367" s="54" t="s">
        <v>155</v>
      </c>
      <c r="B367" s="55" t="s">
        <v>34</v>
      </c>
      <c r="C367" s="55" t="s">
        <v>820</v>
      </c>
      <c r="D367" s="56" t="s">
        <v>30</v>
      </c>
      <c r="E367" s="108">
        <v>12</v>
      </c>
      <c r="F367" s="109"/>
    </row>
    <row r="368" spans="1:6" s="27" customFormat="1" x14ac:dyDescent="0.4">
      <c r="A368" s="54" t="s">
        <v>156</v>
      </c>
      <c r="B368" s="55" t="s">
        <v>34</v>
      </c>
      <c r="C368" s="55" t="s">
        <v>821</v>
      </c>
      <c r="D368" s="56" t="s">
        <v>30</v>
      </c>
      <c r="E368" s="108">
        <v>60</v>
      </c>
      <c r="F368" s="109"/>
    </row>
    <row r="369" spans="1:6" s="27" customFormat="1" x14ac:dyDescent="0.4">
      <c r="A369" s="54" t="s">
        <v>157</v>
      </c>
      <c r="B369" s="55" t="s">
        <v>34</v>
      </c>
      <c r="C369" s="55" t="s">
        <v>822</v>
      </c>
      <c r="D369" s="56" t="s">
        <v>30</v>
      </c>
      <c r="E369" s="108">
        <v>52</v>
      </c>
      <c r="F369" s="109"/>
    </row>
    <row r="370" spans="1:6" s="27" customFormat="1" ht="46.5" x14ac:dyDescent="0.4">
      <c r="A370" s="54" t="s">
        <v>158</v>
      </c>
      <c r="B370" s="55" t="s">
        <v>546</v>
      </c>
      <c r="C370" s="55" t="s">
        <v>547</v>
      </c>
      <c r="D370" s="56" t="s">
        <v>538</v>
      </c>
      <c r="E370" s="106">
        <v>0.71840000000000004</v>
      </c>
      <c r="F370" s="107"/>
    </row>
    <row r="371" spans="1:6" s="27" customFormat="1" x14ac:dyDescent="0.4">
      <c r="A371" s="57"/>
      <c r="B371" s="58"/>
      <c r="C371" s="59" t="s">
        <v>11</v>
      </c>
      <c r="D371" s="58" t="s">
        <v>12</v>
      </c>
      <c r="E371" s="60">
        <v>808.01</v>
      </c>
      <c r="F371" s="60">
        <v>580.47439999999995</v>
      </c>
    </row>
    <row r="372" spans="1:6" s="27" customFormat="1" x14ac:dyDescent="0.4">
      <c r="A372" s="61"/>
      <c r="B372" s="62"/>
      <c r="C372" s="63" t="s">
        <v>539</v>
      </c>
      <c r="D372" s="62" t="s">
        <v>13</v>
      </c>
      <c r="E372" s="64">
        <v>0.27</v>
      </c>
      <c r="F372" s="64">
        <v>0.193968</v>
      </c>
    </row>
    <row r="373" spans="1:6" s="27" customFormat="1" x14ac:dyDescent="0.4">
      <c r="A373" s="65"/>
      <c r="B373" s="66"/>
      <c r="C373" s="67" t="s">
        <v>141</v>
      </c>
      <c r="D373" s="66" t="s">
        <v>13</v>
      </c>
      <c r="E373" s="68">
        <v>49.09</v>
      </c>
      <c r="F373" s="68">
        <v>35.266300000000001</v>
      </c>
    </row>
    <row r="374" spans="1:6" s="27" customFormat="1" x14ac:dyDescent="0.4">
      <c r="A374" s="65"/>
      <c r="B374" s="66"/>
      <c r="C374" s="67" t="s">
        <v>18</v>
      </c>
      <c r="D374" s="66" t="s">
        <v>13</v>
      </c>
      <c r="E374" s="68">
        <v>70.81</v>
      </c>
      <c r="F374" s="68">
        <v>50.869900000000001</v>
      </c>
    </row>
    <row r="375" spans="1:6" s="27" customFormat="1" x14ac:dyDescent="0.4">
      <c r="A375" s="65"/>
      <c r="B375" s="66"/>
      <c r="C375" s="67" t="s">
        <v>19</v>
      </c>
      <c r="D375" s="66" t="s">
        <v>13</v>
      </c>
      <c r="E375" s="68">
        <v>1.23</v>
      </c>
      <c r="F375" s="68">
        <v>0.88363199999999997</v>
      </c>
    </row>
    <row r="376" spans="1:6" s="27" customFormat="1" x14ac:dyDescent="0.4">
      <c r="A376" s="69"/>
      <c r="B376" s="70"/>
      <c r="C376" s="71" t="s">
        <v>548</v>
      </c>
      <c r="D376" s="70" t="s">
        <v>23</v>
      </c>
      <c r="E376" s="73">
        <v>102</v>
      </c>
      <c r="F376" s="72">
        <v>73.276799999999994</v>
      </c>
    </row>
    <row r="377" spans="1:6" s="27" customFormat="1" x14ac:dyDescent="0.4">
      <c r="A377" s="76"/>
      <c r="B377" s="77"/>
      <c r="C377" s="78" t="s">
        <v>20</v>
      </c>
      <c r="D377" s="77" t="s">
        <v>14</v>
      </c>
      <c r="E377" s="79">
        <v>3.6999999999999998E-2</v>
      </c>
      <c r="F377" s="79">
        <v>2.6581E-2</v>
      </c>
    </row>
    <row r="378" spans="1:6" s="27" customFormat="1" ht="23.25" x14ac:dyDescent="0.4">
      <c r="A378" s="76"/>
      <c r="B378" s="77"/>
      <c r="C378" s="78" t="s">
        <v>549</v>
      </c>
      <c r="D378" s="77" t="s">
        <v>23</v>
      </c>
      <c r="E378" s="79">
        <v>0.81</v>
      </c>
      <c r="F378" s="79">
        <v>0.58190399999999998</v>
      </c>
    </row>
    <row r="379" spans="1:6" s="27" customFormat="1" x14ac:dyDescent="0.4">
      <c r="A379" s="76"/>
      <c r="B379" s="77"/>
      <c r="C379" s="78" t="s">
        <v>550</v>
      </c>
      <c r="D379" s="77" t="s">
        <v>21</v>
      </c>
      <c r="E379" s="79">
        <v>77.900000000000006</v>
      </c>
      <c r="F379" s="79">
        <v>55.9634</v>
      </c>
    </row>
    <row r="380" spans="1:6" s="27" customFormat="1" x14ac:dyDescent="0.4">
      <c r="A380" s="76"/>
      <c r="B380" s="77"/>
      <c r="C380" s="78" t="s">
        <v>551</v>
      </c>
      <c r="D380" s="77" t="s">
        <v>14</v>
      </c>
      <c r="E380" s="79">
        <v>0.3</v>
      </c>
      <c r="F380" s="79">
        <v>0.21551999999999999</v>
      </c>
    </row>
    <row r="381" spans="1:6" s="27" customFormat="1" ht="23.25" x14ac:dyDescent="0.4">
      <c r="A381" s="54" t="s">
        <v>159</v>
      </c>
      <c r="B381" s="55" t="s">
        <v>34</v>
      </c>
      <c r="C381" s="55" t="s">
        <v>520</v>
      </c>
      <c r="D381" s="56" t="s">
        <v>14</v>
      </c>
      <c r="E381" s="104">
        <v>1.0680000000000001</v>
      </c>
      <c r="F381" s="105"/>
    </row>
    <row r="382" spans="1:6" s="27" customFormat="1" ht="23.25" x14ac:dyDescent="0.4">
      <c r="A382" s="54" t="s">
        <v>160</v>
      </c>
      <c r="B382" s="55" t="s">
        <v>34</v>
      </c>
      <c r="C382" s="55" t="s">
        <v>564</v>
      </c>
      <c r="D382" s="56" t="s">
        <v>14</v>
      </c>
      <c r="E382" s="104">
        <v>3.6440000000000001</v>
      </c>
      <c r="F382" s="105"/>
    </row>
    <row r="383" spans="1:6" s="27" customFormat="1" ht="23.25" x14ac:dyDescent="0.4">
      <c r="A383" s="54" t="s">
        <v>161</v>
      </c>
      <c r="B383" s="55" t="s">
        <v>34</v>
      </c>
      <c r="C383" s="55" t="s">
        <v>625</v>
      </c>
      <c r="D383" s="56" t="s">
        <v>14</v>
      </c>
      <c r="E383" s="104">
        <v>0.2</v>
      </c>
      <c r="F383" s="105"/>
    </row>
    <row r="384" spans="1:6" s="27" customFormat="1" x14ac:dyDescent="0.4">
      <c r="A384" s="51"/>
      <c r="B384" s="52"/>
      <c r="C384" s="110" t="s">
        <v>829</v>
      </c>
      <c r="D384" s="110"/>
      <c r="E384" s="52"/>
      <c r="F384" s="53"/>
    </row>
    <row r="385" spans="1:6" s="27" customFormat="1" ht="46.5" x14ac:dyDescent="0.4">
      <c r="A385" s="54" t="s">
        <v>162</v>
      </c>
      <c r="B385" s="55" t="s">
        <v>824</v>
      </c>
      <c r="C385" s="55" t="s">
        <v>825</v>
      </c>
      <c r="D385" s="56" t="s">
        <v>538</v>
      </c>
      <c r="E385" s="106">
        <v>0.70279999999999998</v>
      </c>
      <c r="F385" s="107"/>
    </row>
    <row r="386" spans="1:6" s="27" customFormat="1" x14ac:dyDescent="0.4">
      <c r="A386" s="57"/>
      <c r="B386" s="58"/>
      <c r="C386" s="59" t="s">
        <v>11</v>
      </c>
      <c r="D386" s="58" t="s">
        <v>12</v>
      </c>
      <c r="E386" s="60">
        <v>591.86</v>
      </c>
      <c r="F386" s="60">
        <v>415.95920000000001</v>
      </c>
    </row>
    <row r="387" spans="1:6" s="27" customFormat="1" x14ac:dyDescent="0.4">
      <c r="A387" s="61"/>
      <c r="B387" s="62"/>
      <c r="C387" s="63" t="s">
        <v>539</v>
      </c>
      <c r="D387" s="62" t="s">
        <v>13</v>
      </c>
      <c r="E387" s="64">
        <v>2.27</v>
      </c>
      <c r="F387" s="64">
        <v>1.5953999999999999</v>
      </c>
    </row>
    <row r="388" spans="1:6" s="27" customFormat="1" x14ac:dyDescent="0.4">
      <c r="A388" s="65"/>
      <c r="B388" s="66"/>
      <c r="C388" s="67" t="s">
        <v>141</v>
      </c>
      <c r="D388" s="66" t="s">
        <v>13</v>
      </c>
      <c r="E388" s="68">
        <v>34.26</v>
      </c>
      <c r="F388" s="68">
        <v>24.0779</v>
      </c>
    </row>
    <row r="389" spans="1:6" s="27" customFormat="1" x14ac:dyDescent="0.4">
      <c r="A389" s="65"/>
      <c r="B389" s="66"/>
      <c r="C389" s="67" t="s">
        <v>556</v>
      </c>
      <c r="D389" s="66" t="s">
        <v>13</v>
      </c>
      <c r="E389" s="68">
        <v>22.26</v>
      </c>
      <c r="F389" s="68">
        <v>15.644299999999999</v>
      </c>
    </row>
    <row r="390" spans="1:6" s="27" customFormat="1" x14ac:dyDescent="0.4">
      <c r="A390" s="65"/>
      <c r="B390" s="66"/>
      <c r="C390" s="67" t="s">
        <v>18</v>
      </c>
      <c r="D390" s="66" t="s">
        <v>13</v>
      </c>
      <c r="E390" s="68">
        <v>1.02</v>
      </c>
      <c r="F390" s="68">
        <v>0.71685600000000005</v>
      </c>
    </row>
    <row r="391" spans="1:6" s="27" customFormat="1" x14ac:dyDescent="0.4">
      <c r="A391" s="65"/>
      <c r="B391" s="66"/>
      <c r="C391" s="67" t="s">
        <v>540</v>
      </c>
      <c r="D391" s="66" t="s">
        <v>13</v>
      </c>
      <c r="E391" s="68">
        <v>1.01</v>
      </c>
      <c r="F391" s="68">
        <v>0.70982800000000001</v>
      </c>
    </row>
    <row r="392" spans="1:6" s="27" customFormat="1" x14ac:dyDescent="0.4">
      <c r="A392" s="65"/>
      <c r="B392" s="66"/>
      <c r="C392" s="67" t="s">
        <v>71</v>
      </c>
      <c r="D392" s="66" t="s">
        <v>13</v>
      </c>
      <c r="E392" s="68">
        <v>1.55</v>
      </c>
      <c r="F392" s="68">
        <v>1.0892999999999999</v>
      </c>
    </row>
    <row r="393" spans="1:6" s="27" customFormat="1" x14ac:dyDescent="0.4">
      <c r="A393" s="69"/>
      <c r="B393" s="70"/>
      <c r="C393" s="71" t="s">
        <v>503</v>
      </c>
      <c r="D393" s="70" t="s">
        <v>23</v>
      </c>
      <c r="E393" s="72">
        <v>101.5</v>
      </c>
      <c r="F393" s="72">
        <v>71.334199999999996</v>
      </c>
    </row>
    <row r="394" spans="1:6" s="27" customFormat="1" x14ac:dyDescent="0.4">
      <c r="A394" s="76"/>
      <c r="B394" s="77"/>
      <c r="C394" s="78" t="s">
        <v>74</v>
      </c>
      <c r="D394" s="77" t="s">
        <v>23</v>
      </c>
      <c r="E394" s="79">
        <v>0.128</v>
      </c>
      <c r="F394" s="79">
        <v>8.9957999999999996E-2</v>
      </c>
    </row>
    <row r="395" spans="1:6" s="27" customFormat="1" x14ac:dyDescent="0.4">
      <c r="A395" s="76"/>
      <c r="B395" s="77"/>
      <c r="C395" s="78" t="s">
        <v>20</v>
      </c>
      <c r="D395" s="77" t="s">
        <v>14</v>
      </c>
      <c r="E395" s="79">
        <v>1.2E-2</v>
      </c>
      <c r="F395" s="79">
        <v>8.4340000000000005E-3</v>
      </c>
    </row>
    <row r="396" spans="1:6" s="27" customFormat="1" x14ac:dyDescent="0.4">
      <c r="A396" s="76"/>
      <c r="B396" s="77"/>
      <c r="C396" s="78" t="s">
        <v>602</v>
      </c>
      <c r="D396" s="77" t="s">
        <v>14</v>
      </c>
      <c r="E396" s="79">
        <v>8.7999999999999995E-2</v>
      </c>
      <c r="F396" s="79">
        <v>6.1845999999999998E-2</v>
      </c>
    </row>
    <row r="397" spans="1:6" s="27" customFormat="1" x14ac:dyDescent="0.4">
      <c r="A397" s="76"/>
      <c r="B397" s="77"/>
      <c r="C397" s="78" t="s">
        <v>541</v>
      </c>
      <c r="D397" s="77" t="s">
        <v>14</v>
      </c>
      <c r="E397" s="79">
        <v>8.6999999999999994E-3</v>
      </c>
      <c r="F397" s="79">
        <v>6.1139999999999996E-3</v>
      </c>
    </row>
    <row r="398" spans="1:6" s="27" customFormat="1" x14ac:dyDescent="0.4">
      <c r="A398" s="76"/>
      <c r="B398" s="77"/>
      <c r="C398" s="78" t="s">
        <v>603</v>
      </c>
      <c r="D398" s="77" t="s">
        <v>23</v>
      </c>
      <c r="E398" s="79">
        <v>0.75</v>
      </c>
      <c r="F398" s="79">
        <v>0.52710000000000001</v>
      </c>
    </row>
    <row r="399" spans="1:6" s="27" customFormat="1" x14ac:dyDescent="0.4">
      <c r="A399" s="76"/>
      <c r="B399" s="77"/>
      <c r="C399" s="78" t="s">
        <v>604</v>
      </c>
      <c r="D399" s="77" t="s">
        <v>23</v>
      </c>
      <c r="E399" s="79">
        <v>0.1</v>
      </c>
      <c r="F399" s="79">
        <v>7.0279999999999995E-2</v>
      </c>
    </row>
    <row r="400" spans="1:6" s="27" customFormat="1" ht="23.25" x14ac:dyDescent="0.4">
      <c r="A400" s="76"/>
      <c r="B400" s="77"/>
      <c r="C400" s="78" t="s">
        <v>549</v>
      </c>
      <c r="D400" s="77" t="s">
        <v>23</v>
      </c>
      <c r="E400" s="79">
        <v>0.31</v>
      </c>
      <c r="F400" s="79">
        <v>0.21786800000000001</v>
      </c>
    </row>
    <row r="401" spans="1:6" s="27" customFormat="1" x14ac:dyDescent="0.4">
      <c r="A401" s="76"/>
      <c r="B401" s="77"/>
      <c r="C401" s="78" t="s">
        <v>545</v>
      </c>
      <c r="D401" s="77" t="s">
        <v>21</v>
      </c>
      <c r="E401" s="79">
        <v>32.65</v>
      </c>
      <c r="F401" s="79">
        <v>22.946400000000001</v>
      </c>
    </row>
    <row r="402" spans="1:6" s="27" customFormat="1" x14ac:dyDescent="0.4">
      <c r="A402" s="76"/>
      <c r="B402" s="77"/>
      <c r="C402" s="78" t="s">
        <v>314</v>
      </c>
      <c r="D402" s="77" t="s">
        <v>21</v>
      </c>
      <c r="E402" s="79">
        <v>21.5</v>
      </c>
      <c r="F402" s="79">
        <v>15.110200000000001</v>
      </c>
    </row>
    <row r="403" spans="1:6" s="27" customFormat="1" ht="23.25" x14ac:dyDescent="0.4">
      <c r="A403" s="54" t="s">
        <v>163</v>
      </c>
      <c r="B403" s="55" t="s">
        <v>34</v>
      </c>
      <c r="C403" s="55" t="s">
        <v>564</v>
      </c>
      <c r="D403" s="56" t="s">
        <v>14</v>
      </c>
      <c r="E403" s="104">
        <v>4.7439999999999998</v>
      </c>
      <c r="F403" s="105"/>
    </row>
    <row r="404" spans="1:6" s="27" customFormat="1" ht="23.25" x14ac:dyDescent="0.4">
      <c r="A404" s="54" t="s">
        <v>164</v>
      </c>
      <c r="B404" s="55" t="s">
        <v>34</v>
      </c>
      <c r="C404" s="55" t="s">
        <v>518</v>
      </c>
      <c r="D404" s="56" t="s">
        <v>14</v>
      </c>
      <c r="E404" s="104">
        <v>1.264</v>
      </c>
      <c r="F404" s="105"/>
    </row>
    <row r="405" spans="1:6" s="27" customFormat="1" ht="23.25" x14ac:dyDescent="0.4">
      <c r="A405" s="54" t="s">
        <v>165</v>
      </c>
      <c r="B405" s="55" t="s">
        <v>34</v>
      </c>
      <c r="C405" s="55" t="s">
        <v>558</v>
      </c>
      <c r="D405" s="56" t="s">
        <v>14</v>
      </c>
      <c r="E405" s="104">
        <v>0.72799999999999998</v>
      </c>
      <c r="F405" s="105"/>
    </row>
    <row r="406" spans="1:6" s="27" customFormat="1" ht="23.25" x14ac:dyDescent="0.4">
      <c r="A406" s="54" t="s">
        <v>166</v>
      </c>
      <c r="B406" s="55" t="s">
        <v>34</v>
      </c>
      <c r="C406" s="55" t="s">
        <v>517</v>
      </c>
      <c r="D406" s="56" t="s">
        <v>14</v>
      </c>
      <c r="E406" s="104">
        <v>1.008</v>
      </c>
      <c r="F406" s="105"/>
    </row>
    <row r="407" spans="1:6" s="27" customFormat="1" x14ac:dyDescent="0.4">
      <c r="A407" s="51"/>
      <c r="B407" s="52"/>
      <c r="C407" s="110" t="s">
        <v>830</v>
      </c>
      <c r="D407" s="110"/>
      <c r="E407" s="52"/>
      <c r="F407" s="53"/>
    </row>
    <row r="408" spans="1:6" s="27" customFormat="1" ht="46.5" x14ac:dyDescent="0.4">
      <c r="A408" s="54" t="s">
        <v>109</v>
      </c>
      <c r="B408" s="55" t="s">
        <v>560</v>
      </c>
      <c r="C408" s="55" t="s">
        <v>561</v>
      </c>
      <c r="D408" s="56" t="s">
        <v>525</v>
      </c>
      <c r="E408" s="106">
        <v>0.46</v>
      </c>
      <c r="F408" s="107"/>
    </row>
    <row r="409" spans="1:6" s="27" customFormat="1" x14ac:dyDescent="0.4">
      <c r="A409" s="57"/>
      <c r="B409" s="58"/>
      <c r="C409" s="59" t="s">
        <v>11</v>
      </c>
      <c r="D409" s="58" t="s">
        <v>12</v>
      </c>
      <c r="E409" s="74">
        <v>274</v>
      </c>
      <c r="F409" s="60">
        <v>126.04</v>
      </c>
    </row>
    <row r="410" spans="1:6" s="27" customFormat="1" x14ac:dyDescent="0.4">
      <c r="A410" s="61"/>
      <c r="B410" s="62"/>
      <c r="C410" s="63" t="s">
        <v>556</v>
      </c>
      <c r="D410" s="62" t="s">
        <v>13</v>
      </c>
      <c r="E410" s="64">
        <v>51.21</v>
      </c>
      <c r="F410" s="64">
        <v>23.5566</v>
      </c>
    </row>
    <row r="411" spans="1:6" s="27" customFormat="1" x14ac:dyDescent="0.4">
      <c r="A411" s="65"/>
      <c r="B411" s="66"/>
      <c r="C411" s="67" t="s">
        <v>19</v>
      </c>
      <c r="D411" s="66" t="s">
        <v>13</v>
      </c>
      <c r="E411" s="68">
        <v>2.81</v>
      </c>
      <c r="F411" s="68">
        <v>1.2926</v>
      </c>
    </row>
    <row r="412" spans="1:6" s="27" customFormat="1" x14ac:dyDescent="0.4">
      <c r="A412" s="69"/>
      <c r="B412" s="70"/>
      <c r="C412" s="71" t="s">
        <v>548</v>
      </c>
      <c r="D412" s="70" t="s">
        <v>23</v>
      </c>
      <c r="E412" s="72">
        <v>6.5</v>
      </c>
      <c r="F412" s="72">
        <v>2.99</v>
      </c>
    </row>
    <row r="413" spans="1:6" s="27" customFormat="1" x14ac:dyDescent="0.4">
      <c r="A413" s="76"/>
      <c r="B413" s="77"/>
      <c r="C413" s="78" t="s">
        <v>528</v>
      </c>
      <c r="D413" s="77" t="s">
        <v>23</v>
      </c>
      <c r="E413" s="79">
        <v>2.06</v>
      </c>
      <c r="F413" s="79">
        <v>0.9476</v>
      </c>
    </row>
    <row r="414" spans="1:6" s="27" customFormat="1" x14ac:dyDescent="0.4">
      <c r="A414" s="76"/>
      <c r="B414" s="77"/>
      <c r="C414" s="78" t="s">
        <v>20</v>
      </c>
      <c r="D414" s="77" t="s">
        <v>14</v>
      </c>
      <c r="E414" s="79">
        <v>1.2999999999999999E-3</v>
      </c>
      <c r="F414" s="79">
        <v>5.9800000000000001E-4</v>
      </c>
    </row>
    <row r="415" spans="1:6" s="27" customFormat="1" ht="23.25" x14ac:dyDescent="0.4">
      <c r="A415" s="76"/>
      <c r="B415" s="77"/>
      <c r="C415" s="78" t="s">
        <v>562</v>
      </c>
      <c r="D415" s="77" t="s">
        <v>23</v>
      </c>
      <c r="E415" s="79">
        <v>0.33</v>
      </c>
      <c r="F415" s="79">
        <v>0.15179999999999999</v>
      </c>
    </row>
    <row r="416" spans="1:6" s="27" customFormat="1" ht="34.9" x14ac:dyDescent="0.4">
      <c r="A416" s="76"/>
      <c r="B416" s="77"/>
      <c r="C416" s="78" t="s">
        <v>563</v>
      </c>
      <c r="D416" s="77" t="s">
        <v>14</v>
      </c>
      <c r="E416" s="79">
        <v>0.43</v>
      </c>
      <c r="F416" s="79">
        <v>0.1978</v>
      </c>
    </row>
    <row r="417" spans="1:6" s="27" customFormat="1" x14ac:dyDescent="0.4">
      <c r="A417" s="54" t="s">
        <v>167</v>
      </c>
      <c r="B417" s="55" t="s">
        <v>34</v>
      </c>
      <c r="C417" s="55" t="s">
        <v>817</v>
      </c>
      <c r="D417" s="56" t="s">
        <v>30</v>
      </c>
      <c r="E417" s="108">
        <v>2</v>
      </c>
      <c r="F417" s="109"/>
    </row>
    <row r="418" spans="1:6" s="27" customFormat="1" x14ac:dyDescent="0.4">
      <c r="A418" s="54" t="s">
        <v>168</v>
      </c>
      <c r="B418" s="55" t="s">
        <v>34</v>
      </c>
      <c r="C418" s="55" t="s">
        <v>818</v>
      </c>
      <c r="D418" s="56" t="s">
        <v>30</v>
      </c>
      <c r="E418" s="108">
        <v>3</v>
      </c>
      <c r="F418" s="109"/>
    </row>
    <row r="419" spans="1:6" s="27" customFormat="1" x14ac:dyDescent="0.4">
      <c r="A419" s="54" t="s">
        <v>169</v>
      </c>
      <c r="B419" s="55" t="s">
        <v>34</v>
      </c>
      <c r="C419" s="55" t="s">
        <v>819</v>
      </c>
      <c r="D419" s="56" t="s">
        <v>30</v>
      </c>
      <c r="E419" s="108">
        <v>10</v>
      </c>
      <c r="F419" s="109"/>
    </row>
    <row r="420" spans="1:6" s="27" customFormat="1" x14ac:dyDescent="0.4">
      <c r="A420" s="54" t="s">
        <v>170</v>
      </c>
      <c r="B420" s="55" t="s">
        <v>34</v>
      </c>
      <c r="C420" s="55" t="s">
        <v>820</v>
      </c>
      <c r="D420" s="56" t="s">
        <v>30</v>
      </c>
      <c r="E420" s="108">
        <v>3</v>
      </c>
      <c r="F420" s="109"/>
    </row>
    <row r="421" spans="1:6" s="27" customFormat="1" x14ac:dyDescent="0.4">
      <c r="A421" s="54" t="s">
        <v>171</v>
      </c>
      <c r="B421" s="55" t="s">
        <v>34</v>
      </c>
      <c r="C421" s="55" t="s">
        <v>821</v>
      </c>
      <c r="D421" s="56" t="s">
        <v>30</v>
      </c>
      <c r="E421" s="108">
        <v>15</v>
      </c>
      <c r="F421" s="109"/>
    </row>
    <row r="422" spans="1:6" s="27" customFormat="1" x14ac:dyDescent="0.4">
      <c r="A422" s="54" t="s">
        <v>172</v>
      </c>
      <c r="B422" s="55" t="s">
        <v>34</v>
      </c>
      <c r="C422" s="55" t="s">
        <v>822</v>
      </c>
      <c r="D422" s="56" t="s">
        <v>30</v>
      </c>
      <c r="E422" s="108">
        <v>13</v>
      </c>
      <c r="F422" s="109"/>
    </row>
    <row r="423" spans="1:6" s="27" customFormat="1" ht="46.5" x14ac:dyDescent="0.4">
      <c r="A423" s="54" t="s">
        <v>173</v>
      </c>
      <c r="B423" s="55" t="s">
        <v>546</v>
      </c>
      <c r="C423" s="55" t="s">
        <v>547</v>
      </c>
      <c r="D423" s="56" t="s">
        <v>538</v>
      </c>
      <c r="E423" s="106">
        <v>0.17960000000000001</v>
      </c>
      <c r="F423" s="107"/>
    </row>
    <row r="424" spans="1:6" s="27" customFormat="1" x14ac:dyDescent="0.4">
      <c r="A424" s="57"/>
      <c r="B424" s="58"/>
      <c r="C424" s="59" t="s">
        <v>11</v>
      </c>
      <c r="D424" s="58" t="s">
        <v>12</v>
      </c>
      <c r="E424" s="60">
        <v>808.01</v>
      </c>
      <c r="F424" s="60">
        <v>145.11859999999999</v>
      </c>
    </row>
    <row r="425" spans="1:6" s="27" customFormat="1" x14ac:dyDescent="0.4">
      <c r="A425" s="61"/>
      <c r="B425" s="62"/>
      <c r="C425" s="63" t="s">
        <v>539</v>
      </c>
      <c r="D425" s="62" t="s">
        <v>13</v>
      </c>
      <c r="E425" s="64">
        <v>0.27</v>
      </c>
      <c r="F425" s="64">
        <v>4.8492E-2</v>
      </c>
    </row>
    <row r="426" spans="1:6" s="27" customFormat="1" x14ac:dyDescent="0.4">
      <c r="A426" s="65"/>
      <c r="B426" s="66"/>
      <c r="C426" s="67" t="s">
        <v>141</v>
      </c>
      <c r="D426" s="66" t="s">
        <v>13</v>
      </c>
      <c r="E426" s="68">
        <v>49.09</v>
      </c>
      <c r="F426" s="68">
        <v>8.8165999999999993</v>
      </c>
    </row>
    <row r="427" spans="1:6" s="27" customFormat="1" x14ac:dyDescent="0.4">
      <c r="A427" s="65"/>
      <c r="B427" s="66"/>
      <c r="C427" s="67" t="s">
        <v>18</v>
      </c>
      <c r="D427" s="66" t="s">
        <v>13</v>
      </c>
      <c r="E427" s="68">
        <v>70.81</v>
      </c>
      <c r="F427" s="68">
        <v>12.717499999999999</v>
      </c>
    </row>
    <row r="428" spans="1:6" s="27" customFormat="1" x14ac:dyDescent="0.4">
      <c r="A428" s="65"/>
      <c r="B428" s="66"/>
      <c r="C428" s="67" t="s">
        <v>19</v>
      </c>
      <c r="D428" s="66" t="s">
        <v>13</v>
      </c>
      <c r="E428" s="68">
        <v>1.23</v>
      </c>
      <c r="F428" s="68">
        <v>0.22090799999999999</v>
      </c>
    </row>
    <row r="429" spans="1:6" s="27" customFormat="1" x14ac:dyDescent="0.4">
      <c r="A429" s="69"/>
      <c r="B429" s="70"/>
      <c r="C429" s="71" t="s">
        <v>548</v>
      </c>
      <c r="D429" s="70" t="s">
        <v>23</v>
      </c>
      <c r="E429" s="73">
        <v>102</v>
      </c>
      <c r="F429" s="72">
        <v>18.319199999999999</v>
      </c>
    </row>
    <row r="430" spans="1:6" s="27" customFormat="1" x14ac:dyDescent="0.4">
      <c r="A430" s="76"/>
      <c r="B430" s="77"/>
      <c r="C430" s="78" t="s">
        <v>20</v>
      </c>
      <c r="D430" s="77" t="s">
        <v>14</v>
      </c>
      <c r="E430" s="79">
        <v>3.6999999999999998E-2</v>
      </c>
      <c r="F430" s="79">
        <v>6.6449999999999999E-3</v>
      </c>
    </row>
    <row r="431" spans="1:6" s="27" customFormat="1" ht="23.25" x14ac:dyDescent="0.4">
      <c r="A431" s="76"/>
      <c r="B431" s="77"/>
      <c r="C431" s="78" t="s">
        <v>549</v>
      </c>
      <c r="D431" s="77" t="s">
        <v>23</v>
      </c>
      <c r="E431" s="79">
        <v>0.81</v>
      </c>
      <c r="F431" s="79">
        <v>0.14547599999999999</v>
      </c>
    </row>
    <row r="432" spans="1:6" s="27" customFormat="1" x14ac:dyDescent="0.4">
      <c r="A432" s="76"/>
      <c r="B432" s="77"/>
      <c r="C432" s="78" t="s">
        <v>550</v>
      </c>
      <c r="D432" s="77" t="s">
        <v>21</v>
      </c>
      <c r="E432" s="79">
        <v>77.900000000000006</v>
      </c>
      <c r="F432" s="79">
        <v>13.9908</v>
      </c>
    </row>
    <row r="433" spans="1:6" s="27" customFormat="1" x14ac:dyDescent="0.4">
      <c r="A433" s="76"/>
      <c r="B433" s="77"/>
      <c r="C433" s="78" t="s">
        <v>551</v>
      </c>
      <c r="D433" s="77" t="s">
        <v>14</v>
      </c>
      <c r="E433" s="79">
        <v>0.3</v>
      </c>
      <c r="F433" s="79">
        <v>5.3879999999999997E-2</v>
      </c>
    </row>
    <row r="434" spans="1:6" s="27" customFormat="1" ht="23.25" x14ac:dyDescent="0.4">
      <c r="A434" s="54" t="s">
        <v>174</v>
      </c>
      <c r="B434" s="55" t="s">
        <v>34</v>
      </c>
      <c r="C434" s="55" t="s">
        <v>520</v>
      </c>
      <c r="D434" s="56" t="s">
        <v>14</v>
      </c>
      <c r="E434" s="104">
        <v>0.26700000000000002</v>
      </c>
      <c r="F434" s="105"/>
    </row>
    <row r="435" spans="1:6" s="27" customFormat="1" ht="23.25" x14ac:dyDescent="0.4">
      <c r="A435" s="54" t="s">
        <v>175</v>
      </c>
      <c r="B435" s="55" t="s">
        <v>34</v>
      </c>
      <c r="C435" s="55" t="s">
        <v>564</v>
      </c>
      <c r="D435" s="56" t="s">
        <v>14</v>
      </c>
      <c r="E435" s="104">
        <v>0.91100000000000003</v>
      </c>
      <c r="F435" s="105"/>
    </row>
    <row r="436" spans="1:6" s="27" customFormat="1" ht="23.25" x14ac:dyDescent="0.4">
      <c r="A436" s="54" t="s">
        <v>176</v>
      </c>
      <c r="B436" s="55" t="s">
        <v>34</v>
      </c>
      <c r="C436" s="55" t="s">
        <v>625</v>
      </c>
      <c r="D436" s="56" t="s">
        <v>14</v>
      </c>
      <c r="E436" s="104">
        <v>0.05</v>
      </c>
      <c r="F436" s="105"/>
    </row>
    <row r="437" spans="1:6" s="27" customFormat="1" x14ac:dyDescent="0.4">
      <c r="A437" s="51"/>
      <c r="B437" s="52"/>
      <c r="C437" s="110" t="s">
        <v>829</v>
      </c>
      <c r="D437" s="110"/>
      <c r="E437" s="52"/>
      <c r="F437" s="53"/>
    </row>
    <row r="438" spans="1:6" s="27" customFormat="1" ht="46.5" x14ac:dyDescent="0.4">
      <c r="A438" s="54" t="s">
        <v>177</v>
      </c>
      <c r="B438" s="55" t="s">
        <v>824</v>
      </c>
      <c r="C438" s="55" t="s">
        <v>825</v>
      </c>
      <c r="D438" s="56" t="s">
        <v>538</v>
      </c>
      <c r="E438" s="106">
        <v>0.2026</v>
      </c>
      <c r="F438" s="107"/>
    </row>
    <row r="439" spans="1:6" s="27" customFormat="1" x14ac:dyDescent="0.4">
      <c r="A439" s="57"/>
      <c r="B439" s="58"/>
      <c r="C439" s="59" t="s">
        <v>11</v>
      </c>
      <c r="D439" s="58" t="s">
        <v>12</v>
      </c>
      <c r="E439" s="60">
        <v>591.86</v>
      </c>
      <c r="F439" s="60">
        <v>119.91079999999999</v>
      </c>
    </row>
    <row r="440" spans="1:6" s="27" customFormat="1" x14ac:dyDescent="0.4">
      <c r="A440" s="61"/>
      <c r="B440" s="62"/>
      <c r="C440" s="63" t="s">
        <v>539</v>
      </c>
      <c r="D440" s="62" t="s">
        <v>13</v>
      </c>
      <c r="E440" s="64">
        <v>2.27</v>
      </c>
      <c r="F440" s="64">
        <v>0.45990199999999998</v>
      </c>
    </row>
    <row r="441" spans="1:6" s="27" customFormat="1" x14ac:dyDescent="0.4">
      <c r="A441" s="65"/>
      <c r="B441" s="66"/>
      <c r="C441" s="67" t="s">
        <v>141</v>
      </c>
      <c r="D441" s="66" t="s">
        <v>13</v>
      </c>
      <c r="E441" s="68">
        <v>34.26</v>
      </c>
      <c r="F441" s="68">
        <v>6.9410999999999996</v>
      </c>
    </row>
    <row r="442" spans="1:6" s="27" customFormat="1" x14ac:dyDescent="0.4">
      <c r="A442" s="65"/>
      <c r="B442" s="66"/>
      <c r="C442" s="67" t="s">
        <v>556</v>
      </c>
      <c r="D442" s="66" t="s">
        <v>13</v>
      </c>
      <c r="E442" s="68">
        <v>22.26</v>
      </c>
      <c r="F442" s="68">
        <v>4.5099</v>
      </c>
    </row>
    <row r="443" spans="1:6" s="27" customFormat="1" x14ac:dyDescent="0.4">
      <c r="A443" s="65"/>
      <c r="B443" s="66"/>
      <c r="C443" s="67" t="s">
        <v>18</v>
      </c>
      <c r="D443" s="66" t="s">
        <v>13</v>
      </c>
      <c r="E443" s="68">
        <v>1.02</v>
      </c>
      <c r="F443" s="68">
        <v>0.206652</v>
      </c>
    </row>
    <row r="444" spans="1:6" s="27" customFormat="1" x14ac:dyDescent="0.4">
      <c r="A444" s="65"/>
      <c r="B444" s="66"/>
      <c r="C444" s="67" t="s">
        <v>540</v>
      </c>
      <c r="D444" s="66" t="s">
        <v>13</v>
      </c>
      <c r="E444" s="68">
        <v>1.01</v>
      </c>
      <c r="F444" s="68">
        <v>0.204626</v>
      </c>
    </row>
    <row r="445" spans="1:6" s="27" customFormat="1" x14ac:dyDescent="0.4">
      <c r="A445" s="65"/>
      <c r="B445" s="66"/>
      <c r="C445" s="67" t="s">
        <v>71</v>
      </c>
      <c r="D445" s="66" t="s">
        <v>13</v>
      </c>
      <c r="E445" s="68">
        <v>1.55</v>
      </c>
      <c r="F445" s="68">
        <v>0.31402999999999998</v>
      </c>
    </row>
    <row r="446" spans="1:6" s="27" customFormat="1" x14ac:dyDescent="0.4">
      <c r="A446" s="69"/>
      <c r="B446" s="70"/>
      <c r="C446" s="71" t="s">
        <v>503</v>
      </c>
      <c r="D446" s="70" t="s">
        <v>23</v>
      </c>
      <c r="E446" s="72">
        <v>101.5</v>
      </c>
      <c r="F446" s="72">
        <v>20.5639</v>
      </c>
    </row>
    <row r="447" spans="1:6" s="27" customFormat="1" x14ac:dyDescent="0.4">
      <c r="A447" s="76"/>
      <c r="B447" s="77"/>
      <c r="C447" s="78" t="s">
        <v>74</v>
      </c>
      <c r="D447" s="77" t="s">
        <v>23</v>
      </c>
      <c r="E447" s="79">
        <v>0.128</v>
      </c>
      <c r="F447" s="79">
        <v>2.5933000000000001E-2</v>
      </c>
    </row>
    <row r="448" spans="1:6" s="27" customFormat="1" x14ac:dyDescent="0.4">
      <c r="A448" s="76"/>
      <c r="B448" s="77"/>
      <c r="C448" s="78" t="s">
        <v>20</v>
      </c>
      <c r="D448" s="77" t="s">
        <v>14</v>
      </c>
      <c r="E448" s="79">
        <v>1.2E-2</v>
      </c>
      <c r="F448" s="79">
        <v>2.431E-3</v>
      </c>
    </row>
    <row r="449" spans="1:6" s="27" customFormat="1" x14ac:dyDescent="0.4">
      <c r="A449" s="76"/>
      <c r="B449" s="77"/>
      <c r="C449" s="78" t="s">
        <v>602</v>
      </c>
      <c r="D449" s="77" t="s">
        <v>14</v>
      </c>
      <c r="E449" s="79">
        <v>8.7999999999999995E-2</v>
      </c>
      <c r="F449" s="79">
        <v>1.7829000000000001E-2</v>
      </c>
    </row>
    <row r="450" spans="1:6" s="27" customFormat="1" x14ac:dyDescent="0.4">
      <c r="A450" s="76"/>
      <c r="B450" s="77"/>
      <c r="C450" s="78" t="s">
        <v>541</v>
      </c>
      <c r="D450" s="77" t="s">
        <v>14</v>
      </c>
      <c r="E450" s="79">
        <v>8.6999999999999994E-3</v>
      </c>
      <c r="F450" s="79">
        <v>1.763E-3</v>
      </c>
    </row>
    <row r="451" spans="1:6" s="27" customFormat="1" x14ac:dyDescent="0.4">
      <c r="A451" s="76"/>
      <c r="B451" s="77"/>
      <c r="C451" s="78" t="s">
        <v>603</v>
      </c>
      <c r="D451" s="77" t="s">
        <v>23</v>
      </c>
      <c r="E451" s="79">
        <v>0.75</v>
      </c>
      <c r="F451" s="79">
        <v>0.15195</v>
      </c>
    </row>
    <row r="452" spans="1:6" s="27" customFormat="1" x14ac:dyDescent="0.4">
      <c r="A452" s="76"/>
      <c r="B452" s="77"/>
      <c r="C452" s="78" t="s">
        <v>604</v>
      </c>
      <c r="D452" s="77" t="s">
        <v>23</v>
      </c>
      <c r="E452" s="79">
        <v>0.1</v>
      </c>
      <c r="F452" s="79">
        <v>2.026E-2</v>
      </c>
    </row>
    <row r="453" spans="1:6" s="27" customFormat="1" ht="23.25" x14ac:dyDescent="0.4">
      <c r="A453" s="76"/>
      <c r="B453" s="77"/>
      <c r="C453" s="78" t="s">
        <v>549</v>
      </c>
      <c r="D453" s="77" t="s">
        <v>23</v>
      </c>
      <c r="E453" s="79">
        <v>0.31</v>
      </c>
      <c r="F453" s="79">
        <v>6.2806000000000001E-2</v>
      </c>
    </row>
    <row r="454" spans="1:6" s="27" customFormat="1" x14ac:dyDescent="0.4">
      <c r="A454" s="76"/>
      <c r="B454" s="77"/>
      <c r="C454" s="78" t="s">
        <v>545</v>
      </c>
      <c r="D454" s="77" t="s">
        <v>21</v>
      </c>
      <c r="E454" s="79">
        <v>32.65</v>
      </c>
      <c r="F454" s="79">
        <v>6.6148999999999996</v>
      </c>
    </row>
    <row r="455" spans="1:6" s="27" customFormat="1" x14ac:dyDescent="0.4">
      <c r="A455" s="76"/>
      <c r="B455" s="77"/>
      <c r="C455" s="78" t="s">
        <v>314</v>
      </c>
      <c r="D455" s="77" t="s">
        <v>21</v>
      </c>
      <c r="E455" s="79">
        <v>21.5</v>
      </c>
      <c r="F455" s="79">
        <v>4.3559000000000001</v>
      </c>
    </row>
    <row r="456" spans="1:6" s="27" customFormat="1" ht="23.25" x14ac:dyDescent="0.4">
      <c r="A456" s="54" t="s">
        <v>178</v>
      </c>
      <c r="B456" s="55" t="s">
        <v>34</v>
      </c>
      <c r="C456" s="55" t="s">
        <v>564</v>
      </c>
      <c r="D456" s="56" t="s">
        <v>14</v>
      </c>
      <c r="E456" s="104">
        <v>1.8129999999999999</v>
      </c>
      <c r="F456" s="105"/>
    </row>
    <row r="457" spans="1:6" s="27" customFormat="1" ht="23.25" x14ac:dyDescent="0.4">
      <c r="A457" s="54" t="s">
        <v>179</v>
      </c>
      <c r="B457" s="55" t="s">
        <v>34</v>
      </c>
      <c r="C457" s="55" t="s">
        <v>518</v>
      </c>
      <c r="D457" s="56" t="s">
        <v>14</v>
      </c>
      <c r="E457" s="104">
        <v>0.433</v>
      </c>
      <c r="F457" s="105"/>
    </row>
    <row r="458" spans="1:6" s="27" customFormat="1" ht="23.25" x14ac:dyDescent="0.4">
      <c r="A458" s="54" t="s">
        <v>180</v>
      </c>
      <c r="B458" s="55" t="s">
        <v>34</v>
      </c>
      <c r="C458" s="55" t="s">
        <v>558</v>
      </c>
      <c r="D458" s="56" t="s">
        <v>14</v>
      </c>
      <c r="E458" s="104">
        <v>0.223</v>
      </c>
      <c r="F458" s="105"/>
    </row>
    <row r="459" spans="1:6" s="27" customFormat="1" ht="23.25" x14ac:dyDescent="0.4">
      <c r="A459" s="54" t="s">
        <v>181</v>
      </c>
      <c r="B459" s="55" t="s">
        <v>34</v>
      </c>
      <c r="C459" s="55" t="s">
        <v>517</v>
      </c>
      <c r="D459" s="56" t="s">
        <v>14</v>
      </c>
      <c r="E459" s="104">
        <v>0.252</v>
      </c>
      <c r="F459" s="105"/>
    </row>
    <row r="460" spans="1:6" s="27" customFormat="1" ht="34.9" x14ac:dyDescent="0.4">
      <c r="A460" s="54" t="s">
        <v>182</v>
      </c>
      <c r="B460" s="55" t="s">
        <v>831</v>
      </c>
      <c r="C460" s="55" t="s">
        <v>832</v>
      </c>
      <c r="D460" s="56" t="s">
        <v>309</v>
      </c>
      <c r="E460" s="106">
        <v>3.4000000000000002E-2</v>
      </c>
      <c r="F460" s="107"/>
    </row>
    <row r="461" spans="1:6" s="27" customFormat="1" x14ac:dyDescent="0.4">
      <c r="A461" s="57"/>
      <c r="B461" s="58"/>
      <c r="C461" s="59" t="s">
        <v>11</v>
      </c>
      <c r="D461" s="58" t="s">
        <v>12</v>
      </c>
      <c r="E461" s="60">
        <v>16.02</v>
      </c>
      <c r="F461" s="60">
        <v>0.54468000000000005</v>
      </c>
    </row>
    <row r="462" spans="1:6" s="27" customFormat="1" x14ac:dyDescent="0.4">
      <c r="A462" s="61"/>
      <c r="B462" s="62"/>
      <c r="C462" s="63" t="s">
        <v>468</v>
      </c>
      <c r="D462" s="62" t="s">
        <v>13</v>
      </c>
      <c r="E462" s="64">
        <v>0.76</v>
      </c>
      <c r="F462" s="64">
        <v>2.5839999999999998E-2</v>
      </c>
    </row>
    <row r="463" spans="1:6" s="27" customFormat="1" x14ac:dyDescent="0.4">
      <c r="A463" s="65"/>
      <c r="B463" s="66"/>
      <c r="C463" s="67" t="s">
        <v>18</v>
      </c>
      <c r="D463" s="66" t="s">
        <v>13</v>
      </c>
      <c r="E463" s="68">
        <v>0.17</v>
      </c>
      <c r="F463" s="68">
        <v>5.7800000000000004E-3</v>
      </c>
    </row>
    <row r="464" spans="1:6" s="27" customFormat="1" x14ac:dyDescent="0.4">
      <c r="A464" s="65"/>
      <c r="B464" s="66"/>
      <c r="C464" s="67" t="s">
        <v>233</v>
      </c>
      <c r="D464" s="66" t="s">
        <v>13</v>
      </c>
      <c r="E464" s="68">
        <v>0.14000000000000001</v>
      </c>
      <c r="F464" s="68">
        <v>4.7600000000000003E-3</v>
      </c>
    </row>
    <row r="465" spans="1:6" s="27" customFormat="1" x14ac:dyDescent="0.4">
      <c r="A465" s="65"/>
      <c r="B465" s="66"/>
      <c r="C465" s="67" t="s">
        <v>19</v>
      </c>
      <c r="D465" s="66" t="s">
        <v>13</v>
      </c>
      <c r="E465" s="68">
        <v>0.24</v>
      </c>
      <c r="F465" s="68">
        <v>8.1600000000000006E-3</v>
      </c>
    </row>
    <row r="466" spans="1:6" s="27" customFormat="1" x14ac:dyDescent="0.4">
      <c r="A466" s="65"/>
      <c r="B466" s="66"/>
      <c r="C466" s="67" t="s">
        <v>72</v>
      </c>
      <c r="D466" s="66" t="s">
        <v>13</v>
      </c>
      <c r="E466" s="68">
        <v>1.46</v>
      </c>
      <c r="F466" s="68">
        <v>4.9639999999999997E-2</v>
      </c>
    </row>
    <row r="467" spans="1:6" s="27" customFormat="1" x14ac:dyDescent="0.4">
      <c r="A467" s="69"/>
      <c r="B467" s="70"/>
      <c r="C467" s="71" t="s">
        <v>26</v>
      </c>
      <c r="D467" s="70" t="s">
        <v>14</v>
      </c>
      <c r="E467" s="72">
        <v>2.8E-3</v>
      </c>
      <c r="F467" s="72">
        <v>9.5000000000000005E-5</v>
      </c>
    </row>
    <row r="468" spans="1:6" s="27" customFormat="1" x14ac:dyDescent="0.4">
      <c r="A468" s="76"/>
      <c r="B468" s="77"/>
      <c r="C468" s="78" t="s">
        <v>20</v>
      </c>
      <c r="D468" s="77" t="s">
        <v>14</v>
      </c>
      <c r="E468" s="79">
        <v>1.0000000000000001E-5</v>
      </c>
      <c r="F468" s="80">
        <v>0</v>
      </c>
    </row>
    <row r="469" spans="1:6" s="27" customFormat="1" x14ac:dyDescent="0.4">
      <c r="A469" s="76"/>
      <c r="B469" s="77"/>
      <c r="C469" s="78" t="s">
        <v>236</v>
      </c>
      <c r="D469" s="77" t="s">
        <v>14</v>
      </c>
      <c r="E469" s="79">
        <v>3.1E-4</v>
      </c>
      <c r="F469" s="79">
        <v>1.1E-5</v>
      </c>
    </row>
    <row r="470" spans="1:6" s="27" customFormat="1" x14ac:dyDescent="0.4">
      <c r="A470" s="76"/>
      <c r="B470" s="77"/>
      <c r="C470" s="78" t="s">
        <v>237</v>
      </c>
      <c r="D470" s="77" t="s">
        <v>14</v>
      </c>
      <c r="E470" s="79">
        <v>5.9999999999999995E-4</v>
      </c>
      <c r="F470" s="79">
        <v>2.0000000000000002E-5</v>
      </c>
    </row>
    <row r="471" spans="1:6" s="27" customFormat="1" x14ac:dyDescent="0.4">
      <c r="A471" s="76"/>
      <c r="B471" s="77"/>
      <c r="C471" s="78" t="s">
        <v>22</v>
      </c>
      <c r="D471" s="77" t="s">
        <v>14</v>
      </c>
      <c r="E471" s="79">
        <v>3.0000000000000001E-5</v>
      </c>
      <c r="F471" s="79">
        <v>9.9999999999999995E-7</v>
      </c>
    </row>
    <row r="472" spans="1:6" s="27" customFormat="1" x14ac:dyDescent="0.4">
      <c r="A472" s="76"/>
      <c r="B472" s="77"/>
      <c r="C472" s="78" t="s">
        <v>470</v>
      </c>
      <c r="D472" s="77" t="s">
        <v>14</v>
      </c>
      <c r="E472" s="79">
        <v>1.9400000000000001E-3</v>
      </c>
      <c r="F472" s="79">
        <v>6.6000000000000005E-5</v>
      </c>
    </row>
    <row r="473" spans="1:6" s="27" customFormat="1" x14ac:dyDescent="0.4">
      <c r="A473" s="76"/>
      <c r="B473" s="77"/>
      <c r="C473" s="78" t="s">
        <v>77</v>
      </c>
      <c r="D473" s="77" t="s">
        <v>23</v>
      </c>
      <c r="E473" s="79">
        <v>1.1000000000000001</v>
      </c>
      <c r="F473" s="79">
        <v>3.7400000000000003E-2</v>
      </c>
    </row>
    <row r="474" spans="1:6" s="27" customFormat="1" x14ac:dyDescent="0.4">
      <c r="A474" s="76"/>
      <c r="B474" s="77"/>
      <c r="C474" s="78" t="s">
        <v>108</v>
      </c>
      <c r="D474" s="77" t="s">
        <v>14</v>
      </c>
      <c r="E474" s="79">
        <v>3.3999999999999998E-3</v>
      </c>
      <c r="F474" s="79">
        <v>1.16E-4</v>
      </c>
    </row>
    <row r="475" spans="1:6" s="27" customFormat="1" x14ac:dyDescent="0.4">
      <c r="A475" s="76"/>
      <c r="B475" s="77"/>
      <c r="C475" s="78" t="s">
        <v>238</v>
      </c>
      <c r="D475" s="77" t="s">
        <v>30</v>
      </c>
      <c r="E475" s="79">
        <v>0.03</v>
      </c>
      <c r="F475" s="79">
        <v>1.0200000000000001E-3</v>
      </c>
    </row>
    <row r="476" spans="1:6" s="27" customFormat="1" x14ac:dyDescent="0.4">
      <c r="A476" s="76"/>
      <c r="B476" s="77"/>
      <c r="C476" s="78" t="s">
        <v>110</v>
      </c>
      <c r="D476" s="77" t="s">
        <v>76</v>
      </c>
      <c r="E476" s="79">
        <v>0.33</v>
      </c>
      <c r="F476" s="79">
        <v>1.1220000000000001E-2</v>
      </c>
    </row>
    <row r="477" spans="1:6" s="27" customFormat="1" ht="23.25" x14ac:dyDescent="0.4">
      <c r="A477" s="76"/>
      <c r="B477" s="77"/>
      <c r="C477" s="78" t="s">
        <v>239</v>
      </c>
      <c r="D477" s="77" t="s">
        <v>14</v>
      </c>
      <c r="E477" s="79">
        <v>4.0000000000000001E-3</v>
      </c>
      <c r="F477" s="79">
        <v>1.36E-4</v>
      </c>
    </row>
    <row r="478" spans="1:6" s="27" customFormat="1" ht="23.25" x14ac:dyDescent="0.4">
      <c r="A478" s="76"/>
      <c r="B478" s="77"/>
      <c r="C478" s="78" t="s">
        <v>240</v>
      </c>
      <c r="D478" s="77" t="s">
        <v>241</v>
      </c>
      <c r="E478" s="79">
        <v>1.8700000000000001E-2</v>
      </c>
      <c r="F478" s="79">
        <v>6.3599999999999996E-4</v>
      </c>
    </row>
    <row r="479" spans="1:6" s="27" customFormat="1" x14ac:dyDescent="0.4">
      <c r="A479" s="54" t="s">
        <v>183</v>
      </c>
      <c r="B479" s="55" t="s">
        <v>34</v>
      </c>
      <c r="C479" s="55" t="s">
        <v>833</v>
      </c>
      <c r="D479" s="56" t="s">
        <v>14</v>
      </c>
      <c r="E479" s="104">
        <v>3.4000000000000002E-2</v>
      </c>
      <c r="F479" s="105"/>
    </row>
    <row r="480" spans="1:6" s="27" customFormat="1" x14ac:dyDescent="0.4">
      <c r="A480" s="51"/>
      <c r="B480" s="52"/>
      <c r="C480" s="110" t="s">
        <v>834</v>
      </c>
      <c r="D480" s="110"/>
      <c r="E480" s="52"/>
      <c r="F480" s="53"/>
    </row>
    <row r="481" spans="1:6" s="27" customFormat="1" ht="46.5" x14ac:dyDescent="0.4">
      <c r="A481" s="54" t="s">
        <v>184</v>
      </c>
      <c r="B481" s="55" t="s">
        <v>560</v>
      </c>
      <c r="C481" s="55" t="s">
        <v>561</v>
      </c>
      <c r="D481" s="56" t="s">
        <v>525</v>
      </c>
      <c r="E481" s="106">
        <v>0.05</v>
      </c>
      <c r="F481" s="107"/>
    </row>
    <row r="482" spans="1:6" s="27" customFormat="1" x14ac:dyDescent="0.4">
      <c r="A482" s="57"/>
      <c r="B482" s="58"/>
      <c r="C482" s="59" t="s">
        <v>11</v>
      </c>
      <c r="D482" s="58" t="s">
        <v>12</v>
      </c>
      <c r="E482" s="74">
        <v>274</v>
      </c>
      <c r="F482" s="60">
        <v>13.7</v>
      </c>
    </row>
    <row r="483" spans="1:6" s="27" customFormat="1" x14ac:dyDescent="0.4">
      <c r="A483" s="61"/>
      <c r="B483" s="62"/>
      <c r="C483" s="63" t="s">
        <v>556</v>
      </c>
      <c r="D483" s="62" t="s">
        <v>13</v>
      </c>
      <c r="E483" s="64">
        <v>51.21</v>
      </c>
      <c r="F483" s="64">
        <v>2.5605000000000002</v>
      </c>
    </row>
    <row r="484" spans="1:6" s="27" customFormat="1" x14ac:dyDescent="0.4">
      <c r="A484" s="65"/>
      <c r="B484" s="66"/>
      <c r="C484" s="67" t="s">
        <v>19</v>
      </c>
      <c r="D484" s="66" t="s">
        <v>13</v>
      </c>
      <c r="E484" s="68">
        <v>2.81</v>
      </c>
      <c r="F484" s="68">
        <v>0.14050000000000001</v>
      </c>
    </row>
    <row r="485" spans="1:6" s="27" customFormat="1" x14ac:dyDescent="0.4">
      <c r="A485" s="69"/>
      <c r="B485" s="70"/>
      <c r="C485" s="71" t="s">
        <v>548</v>
      </c>
      <c r="D485" s="70" t="s">
        <v>23</v>
      </c>
      <c r="E485" s="72">
        <v>6.5</v>
      </c>
      <c r="F485" s="72">
        <v>0.32500000000000001</v>
      </c>
    </row>
    <row r="486" spans="1:6" s="27" customFormat="1" x14ac:dyDescent="0.4">
      <c r="A486" s="76"/>
      <c r="B486" s="77"/>
      <c r="C486" s="78" t="s">
        <v>528</v>
      </c>
      <c r="D486" s="77" t="s">
        <v>23</v>
      </c>
      <c r="E486" s="79">
        <v>2.06</v>
      </c>
      <c r="F486" s="79">
        <v>0.10299999999999999</v>
      </c>
    </row>
    <row r="487" spans="1:6" s="27" customFormat="1" x14ac:dyDescent="0.4">
      <c r="A487" s="76"/>
      <c r="B487" s="77"/>
      <c r="C487" s="78" t="s">
        <v>20</v>
      </c>
      <c r="D487" s="77" t="s">
        <v>14</v>
      </c>
      <c r="E487" s="79">
        <v>1.2999999999999999E-3</v>
      </c>
      <c r="F487" s="79">
        <v>6.4999999999999994E-5</v>
      </c>
    </row>
    <row r="488" spans="1:6" s="27" customFormat="1" ht="23.25" x14ac:dyDescent="0.4">
      <c r="A488" s="76"/>
      <c r="B488" s="77"/>
      <c r="C488" s="78" t="s">
        <v>562</v>
      </c>
      <c r="D488" s="77" t="s">
        <v>23</v>
      </c>
      <c r="E488" s="79">
        <v>0.33</v>
      </c>
      <c r="F488" s="79">
        <v>1.6500000000000001E-2</v>
      </c>
    </row>
    <row r="489" spans="1:6" s="27" customFormat="1" ht="34.9" x14ac:dyDescent="0.4">
      <c r="A489" s="76"/>
      <c r="B489" s="77"/>
      <c r="C489" s="78" t="s">
        <v>563</v>
      </c>
      <c r="D489" s="77" t="s">
        <v>14</v>
      </c>
      <c r="E489" s="79">
        <v>0.43</v>
      </c>
      <c r="F489" s="79">
        <v>2.1499999999999998E-2</v>
      </c>
    </row>
    <row r="490" spans="1:6" s="27" customFormat="1" x14ac:dyDescent="0.4">
      <c r="A490" s="54" t="s">
        <v>185</v>
      </c>
      <c r="B490" s="55" t="s">
        <v>34</v>
      </c>
      <c r="C490" s="55" t="s">
        <v>835</v>
      </c>
      <c r="D490" s="56" t="s">
        <v>30</v>
      </c>
      <c r="E490" s="108">
        <v>2</v>
      </c>
      <c r="F490" s="109"/>
    </row>
    <row r="491" spans="1:6" s="27" customFormat="1" x14ac:dyDescent="0.4">
      <c r="A491" s="54" t="s">
        <v>186</v>
      </c>
      <c r="B491" s="55" t="s">
        <v>34</v>
      </c>
      <c r="C491" s="55" t="s">
        <v>836</v>
      </c>
      <c r="D491" s="56" t="s">
        <v>30</v>
      </c>
      <c r="E491" s="108">
        <v>3</v>
      </c>
      <c r="F491" s="109"/>
    </row>
    <row r="492" spans="1:6" s="27" customFormat="1" ht="46.5" x14ac:dyDescent="0.4">
      <c r="A492" s="54" t="s">
        <v>187</v>
      </c>
      <c r="B492" s="55" t="s">
        <v>546</v>
      </c>
      <c r="C492" s="55" t="s">
        <v>547</v>
      </c>
      <c r="D492" s="56" t="s">
        <v>538</v>
      </c>
      <c r="E492" s="106">
        <v>1.9E-2</v>
      </c>
      <c r="F492" s="107"/>
    </row>
    <row r="493" spans="1:6" s="27" customFormat="1" x14ac:dyDescent="0.4">
      <c r="A493" s="57"/>
      <c r="B493" s="58"/>
      <c r="C493" s="59" t="s">
        <v>11</v>
      </c>
      <c r="D493" s="58" t="s">
        <v>12</v>
      </c>
      <c r="E493" s="60">
        <v>808.01</v>
      </c>
      <c r="F493" s="60">
        <v>15.3522</v>
      </c>
    </row>
    <row r="494" spans="1:6" s="27" customFormat="1" x14ac:dyDescent="0.4">
      <c r="A494" s="61"/>
      <c r="B494" s="62"/>
      <c r="C494" s="63" t="s">
        <v>539</v>
      </c>
      <c r="D494" s="62" t="s">
        <v>13</v>
      </c>
      <c r="E494" s="64">
        <v>0.27</v>
      </c>
      <c r="F494" s="64">
        <v>5.13E-3</v>
      </c>
    </row>
    <row r="495" spans="1:6" s="27" customFormat="1" x14ac:dyDescent="0.4">
      <c r="A495" s="65"/>
      <c r="B495" s="66"/>
      <c r="C495" s="67" t="s">
        <v>141</v>
      </c>
      <c r="D495" s="66" t="s">
        <v>13</v>
      </c>
      <c r="E495" s="68">
        <v>49.09</v>
      </c>
      <c r="F495" s="68">
        <v>0.93271000000000004</v>
      </c>
    </row>
    <row r="496" spans="1:6" s="27" customFormat="1" x14ac:dyDescent="0.4">
      <c r="A496" s="65"/>
      <c r="B496" s="66"/>
      <c r="C496" s="67" t="s">
        <v>18</v>
      </c>
      <c r="D496" s="66" t="s">
        <v>13</v>
      </c>
      <c r="E496" s="68">
        <v>70.81</v>
      </c>
      <c r="F496" s="68">
        <v>1.3453999999999999</v>
      </c>
    </row>
    <row r="497" spans="1:6" s="27" customFormat="1" x14ac:dyDescent="0.4">
      <c r="A497" s="65"/>
      <c r="B497" s="66"/>
      <c r="C497" s="67" t="s">
        <v>19</v>
      </c>
      <c r="D497" s="66" t="s">
        <v>13</v>
      </c>
      <c r="E497" s="68">
        <v>1.23</v>
      </c>
      <c r="F497" s="68">
        <v>2.3369999999999998E-2</v>
      </c>
    </row>
    <row r="498" spans="1:6" s="27" customFormat="1" x14ac:dyDescent="0.4">
      <c r="A498" s="69"/>
      <c r="B498" s="70"/>
      <c r="C498" s="71" t="s">
        <v>548</v>
      </c>
      <c r="D498" s="70" t="s">
        <v>23</v>
      </c>
      <c r="E498" s="73">
        <v>102</v>
      </c>
      <c r="F498" s="72">
        <v>1.9379999999999999</v>
      </c>
    </row>
    <row r="499" spans="1:6" s="27" customFormat="1" x14ac:dyDescent="0.4">
      <c r="A499" s="76"/>
      <c r="B499" s="77"/>
      <c r="C499" s="78" t="s">
        <v>20</v>
      </c>
      <c r="D499" s="77" t="s">
        <v>14</v>
      </c>
      <c r="E499" s="79">
        <v>3.6999999999999998E-2</v>
      </c>
      <c r="F499" s="79">
        <v>7.0299999999999996E-4</v>
      </c>
    </row>
    <row r="500" spans="1:6" s="27" customFormat="1" ht="23.25" x14ac:dyDescent="0.4">
      <c r="A500" s="76"/>
      <c r="B500" s="77"/>
      <c r="C500" s="78" t="s">
        <v>549</v>
      </c>
      <c r="D500" s="77" t="s">
        <v>23</v>
      </c>
      <c r="E500" s="79">
        <v>0.81</v>
      </c>
      <c r="F500" s="79">
        <v>1.5389999999999999E-2</v>
      </c>
    </row>
    <row r="501" spans="1:6" s="27" customFormat="1" x14ac:dyDescent="0.4">
      <c r="A501" s="76"/>
      <c r="B501" s="77"/>
      <c r="C501" s="78" t="s">
        <v>550</v>
      </c>
      <c r="D501" s="77" t="s">
        <v>21</v>
      </c>
      <c r="E501" s="79">
        <v>77.900000000000006</v>
      </c>
      <c r="F501" s="79">
        <v>1.4801</v>
      </c>
    </row>
    <row r="502" spans="1:6" s="27" customFormat="1" x14ac:dyDescent="0.4">
      <c r="A502" s="76"/>
      <c r="B502" s="77"/>
      <c r="C502" s="78" t="s">
        <v>551</v>
      </c>
      <c r="D502" s="77" t="s">
        <v>14</v>
      </c>
      <c r="E502" s="79">
        <v>0.3</v>
      </c>
      <c r="F502" s="79">
        <v>5.7000000000000002E-3</v>
      </c>
    </row>
    <row r="503" spans="1:6" s="27" customFormat="1" ht="23.25" x14ac:dyDescent="0.4">
      <c r="A503" s="54" t="s">
        <v>188</v>
      </c>
      <c r="B503" s="55" t="s">
        <v>34</v>
      </c>
      <c r="C503" s="55" t="s">
        <v>520</v>
      </c>
      <c r="D503" s="56" t="s">
        <v>14</v>
      </c>
      <c r="E503" s="104">
        <v>2.266E-2</v>
      </c>
      <c r="F503" s="105"/>
    </row>
    <row r="504" spans="1:6" s="27" customFormat="1" ht="23.25" x14ac:dyDescent="0.4">
      <c r="A504" s="54" t="s">
        <v>189</v>
      </c>
      <c r="B504" s="55" t="s">
        <v>34</v>
      </c>
      <c r="C504" s="55" t="s">
        <v>564</v>
      </c>
      <c r="D504" s="56" t="s">
        <v>14</v>
      </c>
      <c r="E504" s="104">
        <v>8.5250000000000006E-2</v>
      </c>
      <c r="F504" s="105"/>
    </row>
    <row r="505" spans="1:6" s="27" customFormat="1" x14ac:dyDescent="0.4">
      <c r="A505" s="51"/>
      <c r="B505" s="52"/>
      <c r="C505" s="110" t="s">
        <v>607</v>
      </c>
      <c r="D505" s="110"/>
      <c r="E505" s="52"/>
      <c r="F505" s="53"/>
    </row>
    <row r="506" spans="1:6" s="27" customFormat="1" ht="46.5" x14ac:dyDescent="0.4">
      <c r="A506" s="54" t="s">
        <v>190</v>
      </c>
      <c r="B506" s="55" t="s">
        <v>608</v>
      </c>
      <c r="C506" s="55" t="s">
        <v>609</v>
      </c>
      <c r="D506" s="56" t="s">
        <v>538</v>
      </c>
      <c r="E506" s="106">
        <v>0.69750000000000001</v>
      </c>
      <c r="F506" s="107"/>
    </row>
    <row r="507" spans="1:6" s="27" customFormat="1" x14ac:dyDescent="0.4">
      <c r="A507" s="57"/>
      <c r="B507" s="58"/>
      <c r="C507" s="59" t="s">
        <v>11</v>
      </c>
      <c r="D507" s="58" t="s">
        <v>12</v>
      </c>
      <c r="E507" s="60">
        <v>915.3</v>
      </c>
      <c r="F507" s="60">
        <v>638.42169999999999</v>
      </c>
    </row>
    <row r="508" spans="1:6" s="27" customFormat="1" x14ac:dyDescent="0.4">
      <c r="A508" s="61"/>
      <c r="B508" s="62"/>
      <c r="C508" s="63" t="s">
        <v>539</v>
      </c>
      <c r="D508" s="62" t="s">
        <v>13</v>
      </c>
      <c r="E508" s="64">
        <v>1.69</v>
      </c>
      <c r="F508" s="64">
        <v>1.1788000000000001</v>
      </c>
    </row>
    <row r="509" spans="1:6" s="27" customFormat="1" x14ac:dyDescent="0.4">
      <c r="A509" s="65"/>
      <c r="B509" s="66"/>
      <c r="C509" s="67" t="s">
        <v>141</v>
      </c>
      <c r="D509" s="66" t="s">
        <v>13</v>
      </c>
      <c r="E509" s="68">
        <v>50.5</v>
      </c>
      <c r="F509" s="68">
        <v>35.223799999999997</v>
      </c>
    </row>
    <row r="510" spans="1:6" s="27" customFormat="1" x14ac:dyDescent="0.4">
      <c r="A510" s="65"/>
      <c r="B510" s="66"/>
      <c r="C510" s="67" t="s">
        <v>556</v>
      </c>
      <c r="D510" s="66" t="s">
        <v>13</v>
      </c>
      <c r="E510" s="68">
        <v>68.7</v>
      </c>
      <c r="F510" s="68">
        <v>47.918300000000002</v>
      </c>
    </row>
    <row r="511" spans="1:6" s="27" customFormat="1" x14ac:dyDescent="0.4">
      <c r="A511" s="65"/>
      <c r="B511" s="66"/>
      <c r="C511" s="67" t="s">
        <v>18</v>
      </c>
      <c r="D511" s="66" t="s">
        <v>13</v>
      </c>
      <c r="E511" s="68">
        <v>2.0299999999999998</v>
      </c>
      <c r="F511" s="68">
        <v>1.4158999999999999</v>
      </c>
    </row>
    <row r="512" spans="1:6" s="27" customFormat="1" x14ac:dyDescent="0.4">
      <c r="A512" s="65"/>
      <c r="B512" s="66"/>
      <c r="C512" s="67" t="s">
        <v>540</v>
      </c>
      <c r="D512" s="66" t="s">
        <v>13</v>
      </c>
      <c r="E512" s="68">
        <v>0.98</v>
      </c>
      <c r="F512" s="68">
        <v>0.68354999999999999</v>
      </c>
    </row>
    <row r="513" spans="1:6" s="27" customFormat="1" x14ac:dyDescent="0.4">
      <c r="A513" s="65"/>
      <c r="B513" s="66"/>
      <c r="C513" s="67" t="s">
        <v>107</v>
      </c>
      <c r="D513" s="66" t="s">
        <v>13</v>
      </c>
      <c r="E513" s="68">
        <v>13.7</v>
      </c>
      <c r="F513" s="68">
        <v>9.5556999999999999</v>
      </c>
    </row>
    <row r="514" spans="1:6" s="27" customFormat="1" x14ac:dyDescent="0.4">
      <c r="A514" s="65"/>
      <c r="B514" s="66"/>
      <c r="C514" s="67" t="s">
        <v>71</v>
      </c>
      <c r="D514" s="66" t="s">
        <v>13</v>
      </c>
      <c r="E514" s="68">
        <v>3.52</v>
      </c>
      <c r="F514" s="68">
        <v>2.4552</v>
      </c>
    </row>
    <row r="515" spans="1:6" s="27" customFormat="1" x14ac:dyDescent="0.4">
      <c r="A515" s="69"/>
      <c r="B515" s="70"/>
      <c r="C515" s="71" t="s">
        <v>503</v>
      </c>
      <c r="D515" s="70" t="s">
        <v>23</v>
      </c>
      <c r="E515" s="72">
        <v>101.5</v>
      </c>
      <c r="F515" s="72">
        <v>70.796300000000002</v>
      </c>
    </row>
    <row r="516" spans="1:6" s="27" customFormat="1" x14ac:dyDescent="0.4">
      <c r="A516" s="76"/>
      <c r="B516" s="77"/>
      <c r="C516" s="78" t="s">
        <v>20</v>
      </c>
      <c r="D516" s="77" t="s">
        <v>14</v>
      </c>
      <c r="E516" s="79">
        <v>1.2999999999999999E-2</v>
      </c>
      <c r="F516" s="79">
        <v>9.0670000000000004E-3</v>
      </c>
    </row>
    <row r="517" spans="1:6" s="27" customFormat="1" x14ac:dyDescent="0.4">
      <c r="A517" s="76"/>
      <c r="B517" s="77"/>
      <c r="C517" s="78" t="s">
        <v>602</v>
      </c>
      <c r="D517" s="77" t="s">
        <v>14</v>
      </c>
      <c r="E517" s="79">
        <v>0.31</v>
      </c>
      <c r="F517" s="79">
        <v>0.216225</v>
      </c>
    </row>
    <row r="518" spans="1:6" s="27" customFormat="1" x14ac:dyDescent="0.4">
      <c r="A518" s="76"/>
      <c r="B518" s="77"/>
      <c r="C518" s="78" t="s">
        <v>541</v>
      </c>
      <c r="D518" s="77" t="s">
        <v>14</v>
      </c>
      <c r="E518" s="79">
        <v>2.0400000000000001E-2</v>
      </c>
      <c r="F518" s="79">
        <v>1.4229E-2</v>
      </c>
    </row>
    <row r="519" spans="1:6" s="27" customFormat="1" x14ac:dyDescent="0.4">
      <c r="A519" s="76"/>
      <c r="B519" s="77"/>
      <c r="C519" s="78" t="s">
        <v>108</v>
      </c>
      <c r="D519" s="77" t="s">
        <v>14</v>
      </c>
      <c r="E519" s="79">
        <v>1.35E-2</v>
      </c>
      <c r="F519" s="79">
        <v>9.4160000000000008E-3</v>
      </c>
    </row>
    <row r="520" spans="1:6" s="27" customFormat="1" x14ac:dyDescent="0.4">
      <c r="A520" s="76"/>
      <c r="B520" s="77"/>
      <c r="C520" s="78" t="s">
        <v>603</v>
      </c>
      <c r="D520" s="77" t="s">
        <v>23</v>
      </c>
      <c r="E520" s="79">
        <v>0.05</v>
      </c>
      <c r="F520" s="79">
        <v>3.4875000000000003E-2</v>
      </c>
    </row>
    <row r="521" spans="1:6" s="27" customFormat="1" ht="23.25" x14ac:dyDescent="0.4">
      <c r="A521" s="76"/>
      <c r="B521" s="77"/>
      <c r="C521" s="78" t="s">
        <v>549</v>
      </c>
      <c r="D521" s="77" t="s">
        <v>23</v>
      </c>
      <c r="E521" s="79">
        <v>0.68</v>
      </c>
      <c r="F521" s="79">
        <v>0.4743</v>
      </c>
    </row>
    <row r="522" spans="1:6" s="27" customFormat="1" x14ac:dyDescent="0.4">
      <c r="A522" s="76"/>
      <c r="B522" s="77"/>
      <c r="C522" s="78" t="s">
        <v>545</v>
      </c>
      <c r="D522" s="77" t="s">
        <v>21</v>
      </c>
      <c r="E522" s="79">
        <v>49.02</v>
      </c>
      <c r="F522" s="79">
        <v>34.191499999999998</v>
      </c>
    </row>
    <row r="523" spans="1:6" s="27" customFormat="1" ht="23.25" x14ac:dyDescent="0.4">
      <c r="A523" s="54" t="s">
        <v>191</v>
      </c>
      <c r="B523" s="55" t="s">
        <v>34</v>
      </c>
      <c r="C523" s="55" t="s">
        <v>505</v>
      </c>
      <c r="D523" s="56" t="s">
        <v>14</v>
      </c>
      <c r="E523" s="104">
        <v>5.4450000000000003</v>
      </c>
      <c r="F523" s="105"/>
    </row>
    <row r="524" spans="1:6" s="27" customFormat="1" ht="23.25" x14ac:dyDescent="0.4">
      <c r="A524" s="54" t="s">
        <v>192</v>
      </c>
      <c r="B524" s="55" t="s">
        <v>34</v>
      </c>
      <c r="C524" s="55" t="s">
        <v>558</v>
      </c>
      <c r="D524" s="56" t="s">
        <v>14</v>
      </c>
      <c r="E524" s="104">
        <v>5.8999999999999997E-2</v>
      </c>
      <c r="F524" s="105"/>
    </row>
    <row r="525" spans="1:6" s="27" customFormat="1" x14ac:dyDescent="0.4">
      <c r="A525" s="51"/>
      <c r="B525" s="52"/>
      <c r="C525" s="110" t="s">
        <v>791</v>
      </c>
      <c r="D525" s="110"/>
      <c r="E525" s="52"/>
      <c r="F525" s="53"/>
    </row>
    <row r="526" spans="1:6" s="27" customFormat="1" ht="46.5" x14ac:dyDescent="0.4">
      <c r="A526" s="54" t="s">
        <v>193</v>
      </c>
      <c r="B526" s="55" t="s">
        <v>608</v>
      </c>
      <c r="C526" s="55" t="s">
        <v>609</v>
      </c>
      <c r="D526" s="56" t="s">
        <v>538</v>
      </c>
      <c r="E526" s="106">
        <v>0.29060000000000002</v>
      </c>
      <c r="F526" s="107"/>
    </row>
    <row r="527" spans="1:6" s="27" customFormat="1" x14ac:dyDescent="0.4">
      <c r="A527" s="57"/>
      <c r="B527" s="58"/>
      <c r="C527" s="59" t="s">
        <v>11</v>
      </c>
      <c r="D527" s="58" t="s">
        <v>12</v>
      </c>
      <c r="E527" s="60">
        <v>915.3</v>
      </c>
      <c r="F527" s="60">
        <v>265.9862</v>
      </c>
    </row>
    <row r="528" spans="1:6" s="27" customFormat="1" x14ac:dyDescent="0.4">
      <c r="A528" s="61"/>
      <c r="B528" s="62"/>
      <c r="C528" s="63" t="s">
        <v>539</v>
      </c>
      <c r="D528" s="62" t="s">
        <v>13</v>
      </c>
      <c r="E528" s="64">
        <v>1.69</v>
      </c>
      <c r="F528" s="64">
        <v>0.49111399999999999</v>
      </c>
    </row>
    <row r="529" spans="1:6" s="27" customFormat="1" x14ac:dyDescent="0.4">
      <c r="A529" s="65"/>
      <c r="B529" s="66"/>
      <c r="C529" s="67" t="s">
        <v>141</v>
      </c>
      <c r="D529" s="66" t="s">
        <v>13</v>
      </c>
      <c r="E529" s="68">
        <v>50.5</v>
      </c>
      <c r="F529" s="68">
        <v>14.6753</v>
      </c>
    </row>
    <row r="530" spans="1:6" s="27" customFormat="1" x14ac:dyDescent="0.4">
      <c r="A530" s="65"/>
      <c r="B530" s="66"/>
      <c r="C530" s="67" t="s">
        <v>556</v>
      </c>
      <c r="D530" s="66" t="s">
        <v>13</v>
      </c>
      <c r="E530" s="68">
        <v>68.7</v>
      </c>
      <c r="F530" s="68">
        <v>19.964200000000002</v>
      </c>
    </row>
    <row r="531" spans="1:6" s="27" customFormat="1" x14ac:dyDescent="0.4">
      <c r="A531" s="65"/>
      <c r="B531" s="66"/>
      <c r="C531" s="67" t="s">
        <v>18</v>
      </c>
      <c r="D531" s="66" t="s">
        <v>13</v>
      </c>
      <c r="E531" s="68">
        <v>2.0299999999999998</v>
      </c>
      <c r="F531" s="68">
        <v>0.58991800000000005</v>
      </c>
    </row>
    <row r="532" spans="1:6" s="27" customFormat="1" x14ac:dyDescent="0.4">
      <c r="A532" s="65"/>
      <c r="B532" s="66"/>
      <c r="C532" s="67" t="s">
        <v>540</v>
      </c>
      <c r="D532" s="66" t="s">
        <v>13</v>
      </c>
      <c r="E532" s="68">
        <v>0.98</v>
      </c>
      <c r="F532" s="68">
        <v>0.28478799999999999</v>
      </c>
    </row>
    <row r="533" spans="1:6" s="27" customFormat="1" x14ac:dyDescent="0.4">
      <c r="A533" s="65"/>
      <c r="B533" s="66"/>
      <c r="C533" s="67" t="s">
        <v>107</v>
      </c>
      <c r="D533" s="66" t="s">
        <v>13</v>
      </c>
      <c r="E533" s="68">
        <v>13.7</v>
      </c>
      <c r="F533" s="68">
        <v>3.9811999999999999</v>
      </c>
    </row>
    <row r="534" spans="1:6" s="27" customFormat="1" x14ac:dyDescent="0.4">
      <c r="A534" s="65"/>
      <c r="B534" s="66"/>
      <c r="C534" s="67" t="s">
        <v>71</v>
      </c>
      <c r="D534" s="66" t="s">
        <v>13</v>
      </c>
      <c r="E534" s="68">
        <v>3.52</v>
      </c>
      <c r="F534" s="68">
        <v>1.0228999999999999</v>
      </c>
    </row>
    <row r="535" spans="1:6" s="27" customFormat="1" x14ac:dyDescent="0.4">
      <c r="A535" s="69"/>
      <c r="B535" s="70"/>
      <c r="C535" s="71" t="s">
        <v>503</v>
      </c>
      <c r="D535" s="70" t="s">
        <v>23</v>
      </c>
      <c r="E535" s="72">
        <v>101.5</v>
      </c>
      <c r="F535" s="72">
        <v>29.495899999999999</v>
      </c>
    </row>
    <row r="536" spans="1:6" s="27" customFormat="1" x14ac:dyDescent="0.4">
      <c r="A536" s="76"/>
      <c r="B536" s="77"/>
      <c r="C536" s="78" t="s">
        <v>20</v>
      </c>
      <c r="D536" s="77" t="s">
        <v>14</v>
      </c>
      <c r="E536" s="79">
        <v>1.2999999999999999E-2</v>
      </c>
      <c r="F536" s="79">
        <v>3.7780000000000001E-3</v>
      </c>
    </row>
    <row r="537" spans="1:6" s="27" customFormat="1" x14ac:dyDescent="0.4">
      <c r="A537" s="76"/>
      <c r="B537" s="77"/>
      <c r="C537" s="78" t="s">
        <v>602</v>
      </c>
      <c r="D537" s="77" t="s">
        <v>14</v>
      </c>
      <c r="E537" s="79">
        <v>0.31</v>
      </c>
      <c r="F537" s="79">
        <v>9.0085999999999999E-2</v>
      </c>
    </row>
    <row r="538" spans="1:6" s="27" customFormat="1" x14ac:dyDescent="0.4">
      <c r="A538" s="76"/>
      <c r="B538" s="77"/>
      <c r="C538" s="78" t="s">
        <v>541</v>
      </c>
      <c r="D538" s="77" t="s">
        <v>14</v>
      </c>
      <c r="E538" s="79">
        <v>2.0400000000000001E-2</v>
      </c>
      <c r="F538" s="79">
        <v>5.9280000000000001E-3</v>
      </c>
    </row>
    <row r="539" spans="1:6" s="27" customFormat="1" x14ac:dyDescent="0.4">
      <c r="A539" s="76"/>
      <c r="B539" s="77"/>
      <c r="C539" s="78" t="s">
        <v>108</v>
      </c>
      <c r="D539" s="77" t="s">
        <v>14</v>
      </c>
      <c r="E539" s="79">
        <v>1.35E-2</v>
      </c>
      <c r="F539" s="79">
        <v>3.9230000000000003E-3</v>
      </c>
    </row>
    <row r="540" spans="1:6" s="27" customFormat="1" x14ac:dyDescent="0.4">
      <c r="A540" s="76"/>
      <c r="B540" s="77"/>
      <c r="C540" s="78" t="s">
        <v>603</v>
      </c>
      <c r="D540" s="77" t="s">
        <v>23</v>
      </c>
      <c r="E540" s="79">
        <v>0.05</v>
      </c>
      <c r="F540" s="79">
        <v>1.453E-2</v>
      </c>
    </row>
    <row r="541" spans="1:6" s="27" customFormat="1" ht="23.25" x14ac:dyDescent="0.4">
      <c r="A541" s="76"/>
      <c r="B541" s="77"/>
      <c r="C541" s="78" t="s">
        <v>549</v>
      </c>
      <c r="D541" s="77" t="s">
        <v>23</v>
      </c>
      <c r="E541" s="79">
        <v>0.68</v>
      </c>
      <c r="F541" s="79">
        <v>0.19760800000000001</v>
      </c>
    </row>
    <row r="542" spans="1:6" s="27" customFormat="1" x14ac:dyDescent="0.4">
      <c r="A542" s="76"/>
      <c r="B542" s="77"/>
      <c r="C542" s="78" t="s">
        <v>545</v>
      </c>
      <c r="D542" s="77" t="s">
        <v>21</v>
      </c>
      <c r="E542" s="79">
        <v>49.02</v>
      </c>
      <c r="F542" s="79">
        <v>14.245200000000001</v>
      </c>
    </row>
    <row r="543" spans="1:6" s="27" customFormat="1" ht="23.25" x14ac:dyDescent="0.4">
      <c r="A543" s="54" t="s">
        <v>194</v>
      </c>
      <c r="B543" s="55" t="s">
        <v>34</v>
      </c>
      <c r="C543" s="55" t="s">
        <v>505</v>
      </c>
      <c r="D543" s="56" t="s">
        <v>14</v>
      </c>
      <c r="E543" s="104">
        <v>4.6349999999999998</v>
      </c>
      <c r="F543" s="105"/>
    </row>
    <row r="544" spans="1:6" s="27" customFormat="1" ht="23.25" x14ac:dyDescent="0.4">
      <c r="A544" s="54" t="s">
        <v>195</v>
      </c>
      <c r="B544" s="55" t="s">
        <v>34</v>
      </c>
      <c r="C544" s="55" t="s">
        <v>558</v>
      </c>
      <c r="D544" s="56" t="s">
        <v>14</v>
      </c>
      <c r="E544" s="104">
        <v>5.8999999999999997E-2</v>
      </c>
      <c r="F544" s="105"/>
    </row>
    <row r="545" spans="1:6" s="27" customFormat="1" x14ac:dyDescent="0.4">
      <c r="A545" s="51"/>
      <c r="B545" s="52"/>
      <c r="C545" s="110" t="s">
        <v>792</v>
      </c>
      <c r="D545" s="110"/>
      <c r="E545" s="52"/>
      <c r="F545" s="53"/>
    </row>
    <row r="546" spans="1:6" s="27" customFormat="1" ht="46.5" x14ac:dyDescent="0.4">
      <c r="A546" s="54" t="s">
        <v>196</v>
      </c>
      <c r="B546" s="55" t="s">
        <v>608</v>
      </c>
      <c r="C546" s="55" t="s">
        <v>609</v>
      </c>
      <c r="D546" s="56" t="s">
        <v>538</v>
      </c>
      <c r="E546" s="106">
        <v>0.2177</v>
      </c>
      <c r="F546" s="107"/>
    </row>
    <row r="547" spans="1:6" s="27" customFormat="1" x14ac:dyDescent="0.4">
      <c r="A547" s="57"/>
      <c r="B547" s="58"/>
      <c r="C547" s="59" t="s">
        <v>11</v>
      </c>
      <c r="D547" s="58" t="s">
        <v>12</v>
      </c>
      <c r="E547" s="60">
        <v>915.3</v>
      </c>
      <c r="F547" s="60">
        <v>199.26079999999999</v>
      </c>
    </row>
    <row r="548" spans="1:6" s="27" customFormat="1" x14ac:dyDescent="0.4">
      <c r="A548" s="61"/>
      <c r="B548" s="62"/>
      <c r="C548" s="63" t="s">
        <v>539</v>
      </c>
      <c r="D548" s="62" t="s">
        <v>13</v>
      </c>
      <c r="E548" s="64">
        <v>1.69</v>
      </c>
      <c r="F548" s="64">
        <v>0.36791299999999999</v>
      </c>
    </row>
    <row r="549" spans="1:6" s="27" customFormat="1" x14ac:dyDescent="0.4">
      <c r="A549" s="65"/>
      <c r="B549" s="66"/>
      <c r="C549" s="67" t="s">
        <v>141</v>
      </c>
      <c r="D549" s="66" t="s">
        <v>13</v>
      </c>
      <c r="E549" s="68">
        <v>50.5</v>
      </c>
      <c r="F549" s="68">
        <v>10.9939</v>
      </c>
    </row>
    <row r="550" spans="1:6" s="27" customFormat="1" x14ac:dyDescent="0.4">
      <c r="A550" s="65"/>
      <c r="B550" s="66"/>
      <c r="C550" s="67" t="s">
        <v>556</v>
      </c>
      <c r="D550" s="66" t="s">
        <v>13</v>
      </c>
      <c r="E550" s="68">
        <v>68.7</v>
      </c>
      <c r="F550" s="68">
        <v>14.956</v>
      </c>
    </row>
    <row r="551" spans="1:6" s="27" customFormat="1" x14ac:dyDescent="0.4">
      <c r="A551" s="65"/>
      <c r="B551" s="66"/>
      <c r="C551" s="67" t="s">
        <v>18</v>
      </c>
      <c r="D551" s="66" t="s">
        <v>13</v>
      </c>
      <c r="E551" s="68">
        <v>2.0299999999999998</v>
      </c>
      <c r="F551" s="68">
        <v>0.44193100000000002</v>
      </c>
    </row>
    <row r="552" spans="1:6" s="27" customFormat="1" x14ac:dyDescent="0.4">
      <c r="A552" s="65"/>
      <c r="B552" s="66"/>
      <c r="C552" s="67" t="s">
        <v>540</v>
      </c>
      <c r="D552" s="66" t="s">
        <v>13</v>
      </c>
      <c r="E552" s="68">
        <v>0.98</v>
      </c>
      <c r="F552" s="68">
        <v>0.21334600000000001</v>
      </c>
    </row>
    <row r="553" spans="1:6" s="27" customFormat="1" x14ac:dyDescent="0.4">
      <c r="A553" s="65"/>
      <c r="B553" s="66"/>
      <c r="C553" s="67" t="s">
        <v>107</v>
      </c>
      <c r="D553" s="66" t="s">
        <v>13</v>
      </c>
      <c r="E553" s="68">
        <v>13.7</v>
      </c>
      <c r="F553" s="68">
        <v>2.9824999999999999</v>
      </c>
    </row>
    <row r="554" spans="1:6" s="27" customFormat="1" x14ac:dyDescent="0.4">
      <c r="A554" s="65"/>
      <c r="B554" s="66"/>
      <c r="C554" s="67" t="s">
        <v>71</v>
      </c>
      <c r="D554" s="66" t="s">
        <v>13</v>
      </c>
      <c r="E554" s="68">
        <v>3.52</v>
      </c>
      <c r="F554" s="68">
        <v>0.76630399999999999</v>
      </c>
    </row>
    <row r="555" spans="1:6" s="27" customFormat="1" x14ac:dyDescent="0.4">
      <c r="A555" s="69"/>
      <c r="B555" s="70"/>
      <c r="C555" s="71" t="s">
        <v>503</v>
      </c>
      <c r="D555" s="70" t="s">
        <v>23</v>
      </c>
      <c r="E555" s="72">
        <v>101.5</v>
      </c>
      <c r="F555" s="72">
        <v>22.096599999999999</v>
      </c>
    </row>
    <row r="556" spans="1:6" s="27" customFormat="1" x14ac:dyDescent="0.4">
      <c r="A556" s="76"/>
      <c r="B556" s="77"/>
      <c r="C556" s="78" t="s">
        <v>20</v>
      </c>
      <c r="D556" s="77" t="s">
        <v>14</v>
      </c>
      <c r="E556" s="79">
        <v>1.2999999999999999E-2</v>
      </c>
      <c r="F556" s="79">
        <v>2.8300000000000001E-3</v>
      </c>
    </row>
    <row r="557" spans="1:6" s="27" customFormat="1" x14ac:dyDescent="0.4">
      <c r="A557" s="76"/>
      <c r="B557" s="77"/>
      <c r="C557" s="78" t="s">
        <v>602</v>
      </c>
      <c r="D557" s="77" t="s">
        <v>14</v>
      </c>
      <c r="E557" s="79">
        <v>0.31</v>
      </c>
      <c r="F557" s="79">
        <v>6.7487000000000005E-2</v>
      </c>
    </row>
    <row r="558" spans="1:6" s="27" customFormat="1" x14ac:dyDescent="0.4">
      <c r="A558" s="76"/>
      <c r="B558" s="77"/>
      <c r="C558" s="78" t="s">
        <v>541</v>
      </c>
      <c r="D558" s="77" t="s">
        <v>14</v>
      </c>
      <c r="E558" s="79">
        <v>2.0400000000000001E-2</v>
      </c>
      <c r="F558" s="79">
        <v>4.4409999999999996E-3</v>
      </c>
    </row>
    <row r="559" spans="1:6" s="27" customFormat="1" x14ac:dyDescent="0.4">
      <c r="A559" s="76"/>
      <c r="B559" s="77"/>
      <c r="C559" s="78" t="s">
        <v>108</v>
      </c>
      <c r="D559" s="77" t="s">
        <v>14</v>
      </c>
      <c r="E559" s="79">
        <v>1.35E-2</v>
      </c>
      <c r="F559" s="79">
        <v>2.9390000000000002E-3</v>
      </c>
    </row>
    <row r="560" spans="1:6" s="27" customFormat="1" x14ac:dyDescent="0.4">
      <c r="A560" s="76"/>
      <c r="B560" s="77"/>
      <c r="C560" s="78" t="s">
        <v>603</v>
      </c>
      <c r="D560" s="77" t="s">
        <v>23</v>
      </c>
      <c r="E560" s="79">
        <v>0.05</v>
      </c>
      <c r="F560" s="79">
        <v>1.0885000000000001E-2</v>
      </c>
    </row>
    <row r="561" spans="1:6" s="27" customFormat="1" ht="23.25" x14ac:dyDescent="0.4">
      <c r="A561" s="76"/>
      <c r="B561" s="77"/>
      <c r="C561" s="78" t="s">
        <v>549</v>
      </c>
      <c r="D561" s="77" t="s">
        <v>23</v>
      </c>
      <c r="E561" s="79">
        <v>0.68</v>
      </c>
      <c r="F561" s="79">
        <v>0.148036</v>
      </c>
    </row>
    <row r="562" spans="1:6" s="27" customFormat="1" x14ac:dyDescent="0.4">
      <c r="A562" s="76"/>
      <c r="B562" s="77"/>
      <c r="C562" s="78" t="s">
        <v>545</v>
      </c>
      <c r="D562" s="77" t="s">
        <v>21</v>
      </c>
      <c r="E562" s="79">
        <v>49.02</v>
      </c>
      <c r="F562" s="79">
        <v>10.6717</v>
      </c>
    </row>
    <row r="563" spans="1:6" s="27" customFormat="1" ht="23.25" x14ac:dyDescent="0.4">
      <c r="A563" s="54" t="s">
        <v>197</v>
      </c>
      <c r="B563" s="55" t="s">
        <v>34</v>
      </c>
      <c r="C563" s="55" t="s">
        <v>505</v>
      </c>
      <c r="D563" s="56" t="s">
        <v>14</v>
      </c>
      <c r="E563" s="104">
        <v>3.6030000000000002</v>
      </c>
      <c r="F563" s="105"/>
    </row>
    <row r="564" spans="1:6" s="27" customFormat="1" ht="23.25" x14ac:dyDescent="0.4">
      <c r="A564" s="54" t="s">
        <v>198</v>
      </c>
      <c r="B564" s="55" t="s">
        <v>34</v>
      </c>
      <c r="C564" s="55" t="s">
        <v>558</v>
      </c>
      <c r="D564" s="56" t="s">
        <v>14</v>
      </c>
      <c r="E564" s="104">
        <v>6.8999999999999999E-3</v>
      </c>
      <c r="F564" s="105"/>
    </row>
    <row r="565" spans="1:6" s="27" customFormat="1" ht="23.25" x14ac:dyDescent="0.4">
      <c r="A565" s="54" t="s">
        <v>199</v>
      </c>
      <c r="B565" s="55" t="s">
        <v>34</v>
      </c>
      <c r="C565" s="55" t="s">
        <v>518</v>
      </c>
      <c r="D565" s="56" t="s">
        <v>14</v>
      </c>
      <c r="E565" s="104">
        <v>1.33</v>
      </c>
      <c r="F565" s="105"/>
    </row>
    <row r="566" spans="1:6" s="27" customFormat="1" x14ac:dyDescent="0.4">
      <c r="A566" s="51"/>
      <c r="B566" s="52"/>
      <c r="C566" s="110" t="s">
        <v>793</v>
      </c>
      <c r="D566" s="110"/>
      <c r="E566" s="52"/>
      <c r="F566" s="53"/>
    </row>
    <row r="567" spans="1:6" s="27" customFormat="1" ht="46.5" x14ac:dyDescent="0.4">
      <c r="A567" s="54" t="s">
        <v>200</v>
      </c>
      <c r="B567" s="55" t="s">
        <v>608</v>
      </c>
      <c r="C567" s="55" t="s">
        <v>609</v>
      </c>
      <c r="D567" s="56" t="s">
        <v>538</v>
      </c>
      <c r="E567" s="106">
        <v>0.20330000000000001</v>
      </c>
      <c r="F567" s="107"/>
    </row>
    <row r="568" spans="1:6" s="27" customFormat="1" x14ac:dyDescent="0.4">
      <c r="A568" s="57"/>
      <c r="B568" s="58"/>
      <c r="C568" s="59" t="s">
        <v>11</v>
      </c>
      <c r="D568" s="58" t="s">
        <v>12</v>
      </c>
      <c r="E568" s="60">
        <v>915.3</v>
      </c>
      <c r="F568" s="60">
        <v>186.0805</v>
      </c>
    </row>
    <row r="569" spans="1:6" s="27" customFormat="1" x14ac:dyDescent="0.4">
      <c r="A569" s="61"/>
      <c r="B569" s="62"/>
      <c r="C569" s="63" t="s">
        <v>539</v>
      </c>
      <c r="D569" s="62" t="s">
        <v>13</v>
      </c>
      <c r="E569" s="64">
        <v>1.69</v>
      </c>
      <c r="F569" s="64">
        <v>0.34357700000000002</v>
      </c>
    </row>
    <row r="570" spans="1:6" s="27" customFormat="1" x14ac:dyDescent="0.4">
      <c r="A570" s="65"/>
      <c r="B570" s="66"/>
      <c r="C570" s="67" t="s">
        <v>141</v>
      </c>
      <c r="D570" s="66" t="s">
        <v>13</v>
      </c>
      <c r="E570" s="68">
        <v>50.5</v>
      </c>
      <c r="F570" s="68">
        <v>10.2667</v>
      </c>
    </row>
    <row r="571" spans="1:6" s="27" customFormat="1" x14ac:dyDescent="0.4">
      <c r="A571" s="65"/>
      <c r="B571" s="66"/>
      <c r="C571" s="67" t="s">
        <v>556</v>
      </c>
      <c r="D571" s="66" t="s">
        <v>13</v>
      </c>
      <c r="E571" s="68">
        <v>68.7</v>
      </c>
      <c r="F571" s="68">
        <v>13.966699999999999</v>
      </c>
    </row>
    <row r="572" spans="1:6" s="27" customFormat="1" x14ac:dyDescent="0.4">
      <c r="A572" s="65"/>
      <c r="B572" s="66"/>
      <c r="C572" s="67" t="s">
        <v>18</v>
      </c>
      <c r="D572" s="66" t="s">
        <v>13</v>
      </c>
      <c r="E572" s="68">
        <v>2.0299999999999998</v>
      </c>
      <c r="F572" s="68">
        <v>0.41269899999999998</v>
      </c>
    </row>
    <row r="573" spans="1:6" s="27" customFormat="1" x14ac:dyDescent="0.4">
      <c r="A573" s="65"/>
      <c r="B573" s="66"/>
      <c r="C573" s="67" t="s">
        <v>540</v>
      </c>
      <c r="D573" s="66" t="s">
        <v>13</v>
      </c>
      <c r="E573" s="68">
        <v>0.98</v>
      </c>
      <c r="F573" s="68">
        <v>0.19923399999999999</v>
      </c>
    </row>
    <row r="574" spans="1:6" s="27" customFormat="1" x14ac:dyDescent="0.4">
      <c r="A574" s="65"/>
      <c r="B574" s="66"/>
      <c r="C574" s="67" t="s">
        <v>107</v>
      </c>
      <c r="D574" s="66" t="s">
        <v>13</v>
      </c>
      <c r="E574" s="68">
        <v>13.7</v>
      </c>
      <c r="F574" s="68">
        <v>2.7852000000000001</v>
      </c>
    </row>
    <row r="575" spans="1:6" s="27" customFormat="1" x14ac:dyDescent="0.4">
      <c r="A575" s="65"/>
      <c r="B575" s="66"/>
      <c r="C575" s="67" t="s">
        <v>71</v>
      </c>
      <c r="D575" s="66" t="s">
        <v>13</v>
      </c>
      <c r="E575" s="68">
        <v>3.52</v>
      </c>
      <c r="F575" s="68">
        <v>0.71561600000000003</v>
      </c>
    </row>
    <row r="576" spans="1:6" s="27" customFormat="1" x14ac:dyDescent="0.4">
      <c r="A576" s="69"/>
      <c r="B576" s="70"/>
      <c r="C576" s="71" t="s">
        <v>503</v>
      </c>
      <c r="D576" s="70" t="s">
        <v>23</v>
      </c>
      <c r="E576" s="72">
        <v>101.5</v>
      </c>
      <c r="F576" s="72">
        <v>20.634899999999998</v>
      </c>
    </row>
    <row r="577" spans="1:6" s="27" customFormat="1" x14ac:dyDescent="0.4">
      <c r="A577" s="76"/>
      <c r="B577" s="77"/>
      <c r="C577" s="78" t="s">
        <v>20</v>
      </c>
      <c r="D577" s="77" t="s">
        <v>14</v>
      </c>
      <c r="E577" s="79">
        <v>1.2999999999999999E-2</v>
      </c>
      <c r="F577" s="79">
        <v>2.643E-3</v>
      </c>
    </row>
    <row r="578" spans="1:6" s="27" customFormat="1" x14ac:dyDescent="0.4">
      <c r="A578" s="76"/>
      <c r="B578" s="77"/>
      <c r="C578" s="78" t="s">
        <v>602</v>
      </c>
      <c r="D578" s="77" t="s">
        <v>14</v>
      </c>
      <c r="E578" s="79">
        <v>0.31</v>
      </c>
      <c r="F578" s="79">
        <v>6.3022999999999996E-2</v>
      </c>
    </row>
    <row r="579" spans="1:6" s="27" customFormat="1" x14ac:dyDescent="0.4">
      <c r="A579" s="76"/>
      <c r="B579" s="77"/>
      <c r="C579" s="78" t="s">
        <v>541</v>
      </c>
      <c r="D579" s="77" t="s">
        <v>14</v>
      </c>
      <c r="E579" s="79">
        <v>2.0400000000000001E-2</v>
      </c>
      <c r="F579" s="79">
        <v>4.1469999999999996E-3</v>
      </c>
    </row>
    <row r="580" spans="1:6" s="27" customFormat="1" x14ac:dyDescent="0.4">
      <c r="A580" s="76"/>
      <c r="B580" s="77"/>
      <c r="C580" s="78" t="s">
        <v>108</v>
      </c>
      <c r="D580" s="77" t="s">
        <v>14</v>
      </c>
      <c r="E580" s="79">
        <v>1.35E-2</v>
      </c>
      <c r="F580" s="79">
        <v>2.745E-3</v>
      </c>
    </row>
    <row r="581" spans="1:6" s="27" customFormat="1" x14ac:dyDescent="0.4">
      <c r="A581" s="76"/>
      <c r="B581" s="77"/>
      <c r="C581" s="78" t="s">
        <v>603</v>
      </c>
      <c r="D581" s="77" t="s">
        <v>23</v>
      </c>
      <c r="E581" s="79">
        <v>0.05</v>
      </c>
      <c r="F581" s="79">
        <v>1.0165E-2</v>
      </c>
    </row>
    <row r="582" spans="1:6" s="27" customFormat="1" ht="23.25" x14ac:dyDescent="0.4">
      <c r="A582" s="76"/>
      <c r="B582" s="77"/>
      <c r="C582" s="78" t="s">
        <v>549</v>
      </c>
      <c r="D582" s="77" t="s">
        <v>23</v>
      </c>
      <c r="E582" s="79">
        <v>0.68</v>
      </c>
      <c r="F582" s="79">
        <v>0.13824400000000001</v>
      </c>
    </row>
    <row r="583" spans="1:6" s="27" customFormat="1" x14ac:dyDescent="0.4">
      <c r="A583" s="76"/>
      <c r="B583" s="77"/>
      <c r="C583" s="78" t="s">
        <v>545</v>
      </c>
      <c r="D583" s="77" t="s">
        <v>21</v>
      </c>
      <c r="E583" s="79">
        <v>49.02</v>
      </c>
      <c r="F583" s="79">
        <v>9.9657999999999998</v>
      </c>
    </row>
    <row r="584" spans="1:6" s="27" customFormat="1" ht="23.25" x14ac:dyDescent="0.4">
      <c r="A584" s="54" t="s">
        <v>201</v>
      </c>
      <c r="B584" s="55" t="s">
        <v>34</v>
      </c>
      <c r="C584" s="55" t="s">
        <v>505</v>
      </c>
      <c r="D584" s="56" t="s">
        <v>14</v>
      </c>
      <c r="E584" s="104">
        <v>3.2669999999999999</v>
      </c>
      <c r="F584" s="105"/>
    </row>
    <row r="585" spans="1:6" s="27" customFormat="1" ht="23.25" x14ac:dyDescent="0.4">
      <c r="A585" s="54" t="s">
        <v>202</v>
      </c>
      <c r="B585" s="55" t="s">
        <v>34</v>
      </c>
      <c r="C585" s="55" t="s">
        <v>558</v>
      </c>
      <c r="D585" s="56" t="s">
        <v>14</v>
      </c>
      <c r="E585" s="104">
        <v>5.8999999999999997E-2</v>
      </c>
      <c r="F585" s="105"/>
    </row>
    <row r="586" spans="1:6" s="27" customFormat="1" ht="23.25" x14ac:dyDescent="0.4">
      <c r="A586" s="54" t="s">
        <v>203</v>
      </c>
      <c r="B586" s="55" t="s">
        <v>34</v>
      </c>
      <c r="C586" s="55" t="s">
        <v>518</v>
      </c>
      <c r="D586" s="56" t="s">
        <v>14</v>
      </c>
      <c r="E586" s="104">
        <v>2.83</v>
      </c>
      <c r="F586" s="105"/>
    </row>
    <row r="587" spans="1:6" s="27" customFormat="1" x14ac:dyDescent="0.4">
      <c r="A587" s="51"/>
      <c r="B587" s="52"/>
      <c r="C587" s="110" t="s">
        <v>794</v>
      </c>
      <c r="D587" s="110"/>
      <c r="E587" s="52"/>
      <c r="F587" s="53"/>
    </row>
    <row r="588" spans="1:6" s="27" customFormat="1" ht="46.5" x14ac:dyDescent="0.4">
      <c r="A588" s="54" t="s">
        <v>204</v>
      </c>
      <c r="B588" s="55" t="s">
        <v>608</v>
      </c>
      <c r="C588" s="55" t="s">
        <v>609</v>
      </c>
      <c r="D588" s="56" t="s">
        <v>538</v>
      </c>
      <c r="E588" s="106">
        <v>0.20330000000000001</v>
      </c>
      <c r="F588" s="107"/>
    </row>
    <row r="589" spans="1:6" s="27" customFormat="1" x14ac:dyDescent="0.4">
      <c r="A589" s="57"/>
      <c r="B589" s="58"/>
      <c r="C589" s="59" t="s">
        <v>11</v>
      </c>
      <c r="D589" s="58" t="s">
        <v>12</v>
      </c>
      <c r="E589" s="60">
        <v>915.3</v>
      </c>
      <c r="F589" s="60">
        <v>186.0805</v>
      </c>
    </row>
    <row r="590" spans="1:6" s="27" customFormat="1" x14ac:dyDescent="0.4">
      <c r="A590" s="61"/>
      <c r="B590" s="62"/>
      <c r="C590" s="63" t="s">
        <v>539</v>
      </c>
      <c r="D590" s="62" t="s">
        <v>13</v>
      </c>
      <c r="E590" s="64">
        <v>1.69</v>
      </c>
      <c r="F590" s="64">
        <v>0.34357700000000002</v>
      </c>
    </row>
    <row r="591" spans="1:6" s="27" customFormat="1" x14ac:dyDescent="0.4">
      <c r="A591" s="65"/>
      <c r="B591" s="66"/>
      <c r="C591" s="67" t="s">
        <v>141</v>
      </c>
      <c r="D591" s="66" t="s">
        <v>13</v>
      </c>
      <c r="E591" s="68">
        <v>50.5</v>
      </c>
      <c r="F591" s="68">
        <v>10.2667</v>
      </c>
    </row>
    <row r="592" spans="1:6" s="27" customFormat="1" x14ac:dyDescent="0.4">
      <c r="A592" s="65"/>
      <c r="B592" s="66"/>
      <c r="C592" s="67" t="s">
        <v>556</v>
      </c>
      <c r="D592" s="66" t="s">
        <v>13</v>
      </c>
      <c r="E592" s="68">
        <v>68.7</v>
      </c>
      <c r="F592" s="68">
        <v>13.966699999999999</v>
      </c>
    </row>
    <row r="593" spans="1:6" s="27" customFormat="1" x14ac:dyDescent="0.4">
      <c r="A593" s="65"/>
      <c r="B593" s="66"/>
      <c r="C593" s="67" t="s">
        <v>18</v>
      </c>
      <c r="D593" s="66" t="s">
        <v>13</v>
      </c>
      <c r="E593" s="68">
        <v>2.0299999999999998</v>
      </c>
      <c r="F593" s="68">
        <v>0.41269899999999998</v>
      </c>
    </row>
    <row r="594" spans="1:6" s="27" customFormat="1" x14ac:dyDescent="0.4">
      <c r="A594" s="65"/>
      <c r="B594" s="66"/>
      <c r="C594" s="67" t="s">
        <v>540</v>
      </c>
      <c r="D594" s="66" t="s">
        <v>13</v>
      </c>
      <c r="E594" s="68">
        <v>0.98</v>
      </c>
      <c r="F594" s="68">
        <v>0.19923399999999999</v>
      </c>
    </row>
    <row r="595" spans="1:6" s="27" customFormat="1" x14ac:dyDescent="0.4">
      <c r="A595" s="65"/>
      <c r="B595" s="66"/>
      <c r="C595" s="67" t="s">
        <v>107</v>
      </c>
      <c r="D595" s="66" t="s">
        <v>13</v>
      </c>
      <c r="E595" s="68">
        <v>13.7</v>
      </c>
      <c r="F595" s="68">
        <v>2.7852000000000001</v>
      </c>
    </row>
    <row r="596" spans="1:6" s="27" customFormat="1" x14ac:dyDescent="0.4">
      <c r="A596" s="65"/>
      <c r="B596" s="66"/>
      <c r="C596" s="67" t="s">
        <v>71</v>
      </c>
      <c r="D596" s="66" t="s">
        <v>13</v>
      </c>
      <c r="E596" s="68">
        <v>3.52</v>
      </c>
      <c r="F596" s="68">
        <v>0.71561600000000003</v>
      </c>
    </row>
    <row r="597" spans="1:6" s="27" customFormat="1" x14ac:dyDescent="0.4">
      <c r="A597" s="69"/>
      <c r="B597" s="70"/>
      <c r="C597" s="71" t="s">
        <v>503</v>
      </c>
      <c r="D597" s="70" t="s">
        <v>23</v>
      </c>
      <c r="E597" s="72">
        <v>101.5</v>
      </c>
      <c r="F597" s="72">
        <v>20.634899999999998</v>
      </c>
    </row>
    <row r="598" spans="1:6" s="27" customFormat="1" x14ac:dyDescent="0.4">
      <c r="A598" s="76"/>
      <c r="B598" s="77"/>
      <c r="C598" s="78" t="s">
        <v>20</v>
      </c>
      <c r="D598" s="77" t="s">
        <v>14</v>
      </c>
      <c r="E598" s="79">
        <v>1.2999999999999999E-2</v>
      </c>
      <c r="F598" s="79">
        <v>2.643E-3</v>
      </c>
    </row>
    <row r="599" spans="1:6" s="27" customFormat="1" x14ac:dyDescent="0.4">
      <c r="A599" s="76"/>
      <c r="B599" s="77"/>
      <c r="C599" s="78" t="s">
        <v>602</v>
      </c>
      <c r="D599" s="77" t="s">
        <v>14</v>
      </c>
      <c r="E599" s="79">
        <v>0.31</v>
      </c>
      <c r="F599" s="79">
        <v>6.3022999999999996E-2</v>
      </c>
    </row>
    <row r="600" spans="1:6" s="27" customFormat="1" x14ac:dyDescent="0.4">
      <c r="A600" s="76"/>
      <c r="B600" s="77"/>
      <c r="C600" s="78" t="s">
        <v>541</v>
      </c>
      <c r="D600" s="77" t="s">
        <v>14</v>
      </c>
      <c r="E600" s="79">
        <v>2.0400000000000001E-2</v>
      </c>
      <c r="F600" s="79">
        <v>4.1469999999999996E-3</v>
      </c>
    </row>
    <row r="601" spans="1:6" s="27" customFormat="1" x14ac:dyDescent="0.4">
      <c r="A601" s="76"/>
      <c r="B601" s="77"/>
      <c r="C601" s="78" t="s">
        <v>108</v>
      </c>
      <c r="D601" s="77" t="s">
        <v>14</v>
      </c>
      <c r="E601" s="79">
        <v>1.35E-2</v>
      </c>
      <c r="F601" s="79">
        <v>2.745E-3</v>
      </c>
    </row>
    <row r="602" spans="1:6" s="27" customFormat="1" x14ac:dyDescent="0.4">
      <c r="A602" s="76"/>
      <c r="B602" s="77"/>
      <c r="C602" s="78" t="s">
        <v>603</v>
      </c>
      <c r="D602" s="77" t="s">
        <v>23</v>
      </c>
      <c r="E602" s="79">
        <v>0.05</v>
      </c>
      <c r="F602" s="79">
        <v>1.0165E-2</v>
      </c>
    </row>
    <row r="603" spans="1:6" s="27" customFormat="1" ht="23.25" x14ac:dyDescent="0.4">
      <c r="A603" s="76"/>
      <c r="B603" s="77"/>
      <c r="C603" s="78" t="s">
        <v>549</v>
      </c>
      <c r="D603" s="77" t="s">
        <v>23</v>
      </c>
      <c r="E603" s="79">
        <v>0.68</v>
      </c>
      <c r="F603" s="79">
        <v>0.13824400000000001</v>
      </c>
    </row>
    <row r="604" spans="1:6" s="27" customFormat="1" x14ac:dyDescent="0.4">
      <c r="A604" s="76"/>
      <c r="B604" s="77"/>
      <c r="C604" s="78" t="s">
        <v>545</v>
      </c>
      <c r="D604" s="77" t="s">
        <v>21</v>
      </c>
      <c r="E604" s="79">
        <v>49.02</v>
      </c>
      <c r="F604" s="79">
        <v>9.9657999999999998</v>
      </c>
    </row>
    <row r="605" spans="1:6" s="27" customFormat="1" ht="23.25" x14ac:dyDescent="0.4">
      <c r="A605" s="54" t="s">
        <v>140</v>
      </c>
      <c r="B605" s="55" t="s">
        <v>34</v>
      </c>
      <c r="C605" s="55" t="s">
        <v>505</v>
      </c>
      <c r="D605" s="56" t="s">
        <v>14</v>
      </c>
      <c r="E605" s="104">
        <v>3.2669999999999999</v>
      </c>
      <c r="F605" s="105"/>
    </row>
    <row r="606" spans="1:6" s="27" customFormat="1" ht="23.25" x14ac:dyDescent="0.4">
      <c r="A606" s="54" t="s">
        <v>205</v>
      </c>
      <c r="B606" s="55" t="s">
        <v>34</v>
      </c>
      <c r="C606" s="55" t="s">
        <v>558</v>
      </c>
      <c r="D606" s="56" t="s">
        <v>14</v>
      </c>
      <c r="E606" s="104">
        <v>5.8999999999999997E-2</v>
      </c>
      <c r="F606" s="105"/>
    </row>
    <row r="607" spans="1:6" s="27" customFormat="1" ht="23.25" x14ac:dyDescent="0.4">
      <c r="A607" s="54" t="s">
        <v>206</v>
      </c>
      <c r="B607" s="55" t="s">
        <v>34</v>
      </c>
      <c r="C607" s="55" t="s">
        <v>518</v>
      </c>
      <c r="D607" s="56" t="s">
        <v>14</v>
      </c>
      <c r="E607" s="104">
        <v>2.83</v>
      </c>
      <c r="F607" s="105"/>
    </row>
    <row r="608" spans="1:6" s="27" customFormat="1" x14ac:dyDescent="0.4">
      <c r="A608" s="51"/>
      <c r="B608" s="52"/>
      <c r="C608" s="110" t="s">
        <v>692</v>
      </c>
      <c r="D608" s="110"/>
      <c r="E608" s="52"/>
      <c r="F608" s="53"/>
    </row>
    <row r="609" spans="1:6" s="27" customFormat="1" ht="23.25" x14ac:dyDescent="0.4">
      <c r="A609" s="54" t="s">
        <v>207</v>
      </c>
      <c r="B609" s="55" t="s">
        <v>578</v>
      </c>
      <c r="C609" s="55" t="s">
        <v>837</v>
      </c>
      <c r="D609" s="56" t="s">
        <v>579</v>
      </c>
      <c r="E609" s="106">
        <v>511.92</v>
      </c>
      <c r="F609" s="107"/>
    </row>
    <row r="610" spans="1:6" s="27" customFormat="1" x14ac:dyDescent="0.4">
      <c r="A610" s="57"/>
      <c r="B610" s="58"/>
      <c r="C610" s="59" t="s">
        <v>11</v>
      </c>
      <c r="D610" s="58" t="s">
        <v>12</v>
      </c>
      <c r="E610" s="60">
        <v>3.65</v>
      </c>
      <c r="F610" s="60">
        <v>1868.508</v>
      </c>
    </row>
    <row r="611" spans="1:6" s="27" customFormat="1" x14ac:dyDescent="0.4">
      <c r="A611" s="61"/>
      <c r="B611" s="62"/>
      <c r="C611" s="63" t="s">
        <v>25</v>
      </c>
      <c r="D611" s="62" t="s">
        <v>13</v>
      </c>
      <c r="E611" s="64">
        <v>0.2</v>
      </c>
      <c r="F611" s="64">
        <v>102.384</v>
      </c>
    </row>
    <row r="612" spans="1:6" s="27" customFormat="1" x14ac:dyDescent="0.4">
      <c r="A612" s="65"/>
      <c r="B612" s="66"/>
      <c r="C612" s="67" t="s">
        <v>18</v>
      </c>
      <c r="D612" s="66" t="s">
        <v>13</v>
      </c>
      <c r="E612" s="68">
        <v>0.08</v>
      </c>
      <c r="F612" s="68">
        <v>40.953600000000002</v>
      </c>
    </row>
    <row r="613" spans="1:6" s="27" customFormat="1" x14ac:dyDescent="0.4">
      <c r="A613" s="65"/>
      <c r="B613" s="66"/>
      <c r="C613" s="67" t="s">
        <v>19</v>
      </c>
      <c r="D613" s="66" t="s">
        <v>13</v>
      </c>
      <c r="E613" s="68">
        <v>0.05</v>
      </c>
      <c r="F613" s="68">
        <v>25.596</v>
      </c>
    </row>
    <row r="614" spans="1:6" s="27" customFormat="1" x14ac:dyDescent="0.4">
      <c r="A614" s="69"/>
      <c r="B614" s="70"/>
      <c r="C614" s="71" t="s">
        <v>74</v>
      </c>
      <c r="D614" s="70" t="s">
        <v>23</v>
      </c>
      <c r="E614" s="72">
        <v>4.0000000000000001E-3</v>
      </c>
      <c r="F614" s="72">
        <v>2.0476999999999999</v>
      </c>
    </row>
    <row r="615" spans="1:6" s="27" customFormat="1" x14ac:dyDescent="0.4">
      <c r="A615" s="76"/>
      <c r="B615" s="77"/>
      <c r="C615" s="78" t="s">
        <v>573</v>
      </c>
      <c r="D615" s="77" t="s">
        <v>76</v>
      </c>
      <c r="E615" s="79">
        <v>20.5</v>
      </c>
      <c r="F615" s="79">
        <v>10494.36</v>
      </c>
    </row>
    <row r="616" spans="1:6" s="27" customFormat="1" x14ac:dyDescent="0.4">
      <c r="A616" s="76"/>
      <c r="B616" s="77"/>
      <c r="C616" s="78" t="s">
        <v>580</v>
      </c>
      <c r="D616" s="77" t="s">
        <v>23</v>
      </c>
      <c r="E616" s="79">
        <v>1.01</v>
      </c>
      <c r="F616" s="79">
        <v>517.03920000000005</v>
      </c>
    </row>
    <row r="617" spans="1:6" s="27" customFormat="1" x14ac:dyDescent="0.4">
      <c r="A617" s="76"/>
      <c r="B617" s="77"/>
      <c r="C617" s="78" t="s">
        <v>574</v>
      </c>
      <c r="D617" s="77" t="s">
        <v>14</v>
      </c>
      <c r="E617" s="79">
        <v>7.7999999999999999E-4</v>
      </c>
      <c r="F617" s="79">
        <v>0.39929799999999999</v>
      </c>
    </row>
    <row r="618" spans="1:6" s="27" customFormat="1" ht="23.25" x14ac:dyDescent="0.4">
      <c r="A618" s="54" t="s">
        <v>208</v>
      </c>
      <c r="B618" s="55" t="s">
        <v>578</v>
      </c>
      <c r="C618" s="55" t="s">
        <v>838</v>
      </c>
      <c r="D618" s="56" t="s">
        <v>579</v>
      </c>
      <c r="E618" s="106">
        <v>432.43</v>
      </c>
      <c r="F618" s="107"/>
    </row>
    <row r="619" spans="1:6" s="27" customFormat="1" x14ac:dyDescent="0.4">
      <c r="A619" s="57"/>
      <c r="B619" s="58"/>
      <c r="C619" s="59" t="s">
        <v>11</v>
      </c>
      <c r="D619" s="58" t="s">
        <v>12</v>
      </c>
      <c r="E619" s="60">
        <v>3.65</v>
      </c>
      <c r="F619" s="60">
        <v>1578.3695</v>
      </c>
    </row>
    <row r="620" spans="1:6" s="27" customFormat="1" x14ac:dyDescent="0.4">
      <c r="A620" s="61"/>
      <c r="B620" s="62"/>
      <c r="C620" s="63" t="s">
        <v>25</v>
      </c>
      <c r="D620" s="62" t="s">
        <v>13</v>
      </c>
      <c r="E620" s="64">
        <v>0.2</v>
      </c>
      <c r="F620" s="64">
        <v>86.486000000000004</v>
      </c>
    </row>
    <row r="621" spans="1:6" s="27" customFormat="1" x14ac:dyDescent="0.4">
      <c r="A621" s="65"/>
      <c r="B621" s="66"/>
      <c r="C621" s="67" t="s">
        <v>18</v>
      </c>
      <c r="D621" s="66" t="s">
        <v>13</v>
      </c>
      <c r="E621" s="68">
        <v>0.08</v>
      </c>
      <c r="F621" s="68">
        <v>34.5944</v>
      </c>
    </row>
    <row r="622" spans="1:6" s="27" customFormat="1" x14ac:dyDescent="0.4">
      <c r="A622" s="65"/>
      <c r="B622" s="66"/>
      <c r="C622" s="67" t="s">
        <v>19</v>
      </c>
      <c r="D622" s="66" t="s">
        <v>13</v>
      </c>
      <c r="E622" s="68">
        <v>0.05</v>
      </c>
      <c r="F622" s="68">
        <v>21.621500000000001</v>
      </c>
    </row>
    <row r="623" spans="1:6" s="27" customFormat="1" x14ac:dyDescent="0.4">
      <c r="A623" s="69"/>
      <c r="B623" s="70"/>
      <c r="C623" s="71" t="s">
        <v>74</v>
      </c>
      <c r="D623" s="70" t="s">
        <v>23</v>
      </c>
      <c r="E623" s="72">
        <v>4.0000000000000001E-3</v>
      </c>
      <c r="F623" s="72">
        <v>1.7297</v>
      </c>
    </row>
    <row r="624" spans="1:6" s="27" customFormat="1" x14ac:dyDescent="0.4">
      <c r="A624" s="76"/>
      <c r="B624" s="77"/>
      <c r="C624" s="78" t="s">
        <v>573</v>
      </c>
      <c r="D624" s="77" t="s">
        <v>76</v>
      </c>
      <c r="E624" s="79">
        <v>20.5</v>
      </c>
      <c r="F624" s="79">
        <v>8864.8150000000005</v>
      </c>
    </row>
    <row r="625" spans="1:6" s="27" customFormat="1" x14ac:dyDescent="0.4">
      <c r="A625" s="76"/>
      <c r="B625" s="77"/>
      <c r="C625" s="78" t="s">
        <v>580</v>
      </c>
      <c r="D625" s="77" t="s">
        <v>23</v>
      </c>
      <c r="E625" s="79">
        <v>1.01</v>
      </c>
      <c r="F625" s="79">
        <v>436.7543</v>
      </c>
    </row>
    <row r="626" spans="1:6" s="27" customFormat="1" x14ac:dyDescent="0.4">
      <c r="A626" s="76"/>
      <c r="B626" s="77"/>
      <c r="C626" s="78" t="s">
        <v>574</v>
      </c>
      <c r="D626" s="77" t="s">
        <v>14</v>
      </c>
      <c r="E626" s="79">
        <v>7.7999999999999999E-4</v>
      </c>
      <c r="F626" s="79">
        <v>0.33729500000000001</v>
      </c>
    </row>
    <row r="627" spans="1:6" s="27" customFormat="1" ht="23.25" x14ac:dyDescent="0.4">
      <c r="A627" s="54" t="s">
        <v>209</v>
      </c>
      <c r="B627" s="55" t="s">
        <v>575</v>
      </c>
      <c r="C627" s="55" t="s">
        <v>576</v>
      </c>
      <c r="D627" s="56" t="s">
        <v>572</v>
      </c>
      <c r="E627" s="106">
        <v>18.440999999999999</v>
      </c>
      <c r="F627" s="107"/>
    </row>
    <row r="628" spans="1:6" s="27" customFormat="1" x14ac:dyDescent="0.4">
      <c r="A628" s="57"/>
      <c r="B628" s="58"/>
      <c r="C628" s="59" t="s">
        <v>11</v>
      </c>
      <c r="D628" s="58" t="s">
        <v>12</v>
      </c>
      <c r="E628" s="60">
        <v>62.4</v>
      </c>
      <c r="F628" s="60">
        <v>1150.7184</v>
      </c>
    </row>
    <row r="629" spans="1:6" s="27" customFormat="1" x14ac:dyDescent="0.4">
      <c r="A629" s="61"/>
      <c r="B629" s="62"/>
      <c r="C629" s="63" t="s">
        <v>25</v>
      </c>
      <c r="D629" s="62" t="s">
        <v>13</v>
      </c>
      <c r="E629" s="64">
        <v>1.3</v>
      </c>
      <c r="F629" s="64">
        <v>23.973299999999998</v>
      </c>
    </row>
    <row r="630" spans="1:6" s="27" customFormat="1" x14ac:dyDescent="0.4">
      <c r="A630" s="65"/>
      <c r="B630" s="66"/>
      <c r="C630" s="67" t="s">
        <v>18</v>
      </c>
      <c r="D630" s="66" t="s">
        <v>13</v>
      </c>
      <c r="E630" s="68">
        <v>0.78</v>
      </c>
      <c r="F630" s="68">
        <v>14.384</v>
      </c>
    </row>
    <row r="631" spans="1:6" s="27" customFormat="1" x14ac:dyDescent="0.4">
      <c r="A631" s="65"/>
      <c r="B631" s="66"/>
      <c r="C631" s="67" t="s">
        <v>19</v>
      </c>
      <c r="D631" s="66" t="s">
        <v>13</v>
      </c>
      <c r="E631" s="68">
        <v>0.48</v>
      </c>
      <c r="F631" s="68">
        <v>8.8516999999999992</v>
      </c>
    </row>
    <row r="632" spans="1:6" s="27" customFormat="1" x14ac:dyDescent="0.4">
      <c r="A632" s="69"/>
      <c r="B632" s="70"/>
      <c r="C632" s="71" t="s">
        <v>74</v>
      </c>
      <c r="D632" s="70" t="s">
        <v>23</v>
      </c>
      <c r="E632" s="72">
        <v>4.3700000000000003E-2</v>
      </c>
      <c r="F632" s="72">
        <v>0.80587200000000003</v>
      </c>
    </row>
    <row r="633" spans="1:6" s="27" customFormat="1" x14ac:dyDescent="0.4">
      <c r="A633" s="76"/>
      <c r="B633" s="77"/>
      <c r="C633" s="78" t="s">
        <v>573</v>
      </c>
      <c r="D633" s="77" t="s">
        <v>76</v>
      </c>
      <c r="E633" s="79">
        <v>212.14</v>
      </c>
      <c r="F633" s="79">
        <v>3912.0736999999999</v>
      </c>
    </row>
    <row r="634" spans="1:6" s="27" customFormat="1" x14ac:dyDescent="0.4">
      <c r="A634" s="76"/>
      <c r="B634" s="77"/>
      <c r="C634" s="78" t="s">
        <v>577</v>
      </c>
      <c r="D634" s="77" t="s">
        <v>23</v>
      </c>
      <c r="E634" s="79">
        <v>10.1</v>
      </c>
      <c r="F634" s="79">
        <v>186.25409999999999</v>
      </c>
    </row>
    <row r="635" spans="1:6" s="27" customFormat="1" x14ac:dyDescent="0.4">
      <c r="A635" s="76"/>
      <c r="B635" s="77"/>
      <c r="C635" s="78" t="s">
        <v>574</v>
      </c>
      <c r="D635" s="77" t="s">
        <v>14</v>
      </c>
      <c r="E635" s="79">
        <v>3.1E-2</v>
      </c>
      <c r="F635" s="79">
        <v>0.57167100000000004</v>
      </c>
    </row>
    <row r="636" spans="1:6" s="27" customFormat="1" x14ac:dyDescent="0.4">
      <c r="A636" s="51"/>
      <c r="B636" s="52"/>
      <c r="C636" s="110" t="s">
        <v>839</v>
      </c>
      <c r="D636" s="110"/>
      <c r="E636" s="52"/>
      <c r="F636" s="53"/>
    </row>
    <row r="637" spans="1:6" s="27" customFormat="1" ht="34.9" x14ac:dyDescent="0.4">
      <c r="A637" s="54" t="s">
        <v>210</v>
      </c>
      <c r="B637" s="55" t="s">
        <v>451</v>
      </c>
      <c r="C637" s="55" t="s">
        <v>581</v>
      </c>
      <c r="D637" s="56" t="s">
        <v>309</v>
      </c>
      <c r="E637" s="106">
        <v>8.9939999999999998</v>
      </c>
      <c r="F637" s="107"/>
    </row>
    <row r="638" spans="1:6" s="27" customFormat="1" x14ac:dyDescent="0.4">
      <c r="A638" s="57"/>
      <c r="B638" s="58"/>
      <c r="C638" s="59" t="s">
        <v>11</v>
      </c>
      <c r="D638" s="58" t="s">
        <v>12</v>
      </c>
      <c r="E638" s="60">
        <v>6.59</v>
      </c>
      <c r="F638" s="60">
        <v>59.270499999999998</v>
      </c>
    </row>
    <row r="639" spans="1:6" s="27" customFormat="1" x14ac:dyDescent="0.4">
      <c r="A639" s="61"/>
      <c r="B639" s="62"/>
      <c r="C639" s="63" t="s">
        <v>18</v>
      </c>
      <c r="D639" s="62" t="s">
        <v>13</v>
      </c>
      <c r="E639" s="64">
        <v>0.15</v>
      </c>
      <c r="F639" s="64">
        <v>1.3491</v>
      </c>
    </row>
    <row r="640" spans="1:6" s="27" customFormat="1" x14ac:dyDescent="0.4">
      <c r="A640" s="65"/>
      <c r="B640" s="66"/>
      <c r="C640" s="67" t="s">
        <v>234</v>
      </c>
      <c r="D640" s="66" t="s">
        <v>13</v>
      </c>
      <c r="E640" s="68">
        <v>0.09</v>
      </c>
      <c r="F640" s="68">
        <v>0.80945999999999996</v>
      </c>
    </row>
    <row r="641" spans="1:6" s="27" customFormat="1" x14ac:dyDescent="0.4">
      <c r="A641" s="65"/>
      <c r="B641" s="66"/>
      <c r="C641" s="67" t="s">
        <v>19</v>
      </c>
      <c r="D641" s="66" t="s">
        <v>13</v>
      </c>
      <c r="E641" s="68">
        <v>0.23</v>
      </c>
      <c r="F641" s="68">
        <v>2.0686</v>
      </c>
    </row>
    <row r="642" spans="1:6" s="27" customFormat="1" x14ac:dyDescent="0.4">
      <c r="A642" s="65"/>
      <c r="B642" s="66"/>
      <c r="C642" s="67" t="s">
        <v>72</v>
      </c>
      <c r="D642" s="66" t="s">
        <v>13</v>
      </c>
      <c r="E642" s="68">
        <v>2.2400000000000002</v>
      </c>
      <c r="F642" s="68">
        <v>20.146599999999999</v>
      </c>
    </row>
    <row r="643" spans="1:6" s="27" customFormat="1" x14ac:dyDescent="0.4">
      <c r="A643" s="69"/>
      <c r="B643" s="70"/>
      <c r="C643" s="71" t="s">
        <v>26</v>
      </c>
      <c r="D643" s="70" t="s">
        <v>14</v>
      </c>
      <c r="E643" s="72">
        <v>4.0000000000000001E-3</v>
      </c>
      <c r="F643" s="72">
        <v>3.5976000000000001E-2</v>
      </c>
    </row>
    <row r="644" spans="1:6" s="27" customFormat="1" x14ac:dyDescent="0.4">
      <c r="A644" s="76"/>
      <c r="B644" s="77"/>
      <c r="C644" s="78" t="s">
        <v>20</v>
      </c>
      <c r="D644" s="77" t="s">
        <v>14</v>
      </c>
      <c r="E644" s="79">
        <v>1.0000000000000001E-5</v>
      </c>
      <c r="F644" s="79">
        <v>9.0000000000000006E-5</v>
      </c>
    </row>
    <row r="645" spans="1:6" s="27" customFormat="1" x14ac:dyDescent="0.4">
      <c r="A645" s="76"/>
      <c r="B645" s="77"/>
      <c r="C645" s="78" t="s">
        <v>236</v>
      </c>
      <c r="D645" s="77" t="s">
        <v>14</v>
      </c>
      <c r="E645" s="79">
        <v>3.1E-4</v>
      </c>
      <c r="F645" s="79">
        <v>2.7880000000000001E-3</v>
      </c>
    </row>
    <row r="646" spans="1:6" s="27" customFormat="1" x14ac:dyDescent="0.4">
      <c r="A646" s="76"/>
      <c r="B646" s="77"/>
      <c r="C646" s="78" t="s">
        <v>237</v>
      </c>
      <c r="D646" s="77" t="s">
        <v>14</v>
      </c>
      <c r="E646" s="79">
        <v>5.9999999999999995E-4</v>
      </c>
      <c r="F646" s="79">
        <v>5.3959999999999998E-3</v>
      </c>
    </row>
    <row r="647" spans="1:6" s="27" customFormat="1" x14ac:dyDescent="0.4">
      <c r="A647" s="76"/>
      <c r="B647" s="77"/>
      <c r="C647" s="78" t="s">
        <v>22</v>
      </c>
      <c r="D647" s="77" t="s">
        <v>14</v>
      </c>
      <c r="E647" s="79">
        <v>3.0000000000000001E-5</v>
      </c>
      <c r="F647" s="79">
        <v>2.7E-4</v>
      </c>
    </row>
    <row r="648" spans="1:6" s="27" customFormat="1" x14ac:dyDescent="0.4">
      <c r="A648" s="76"/>
      <c r="B648" s="77"/>
      <c r="C648" s="78" t="s">
        <v>77</v>
      </c>
      <c r="D648" s="77" t="s">
        <v>23</v>
      </c>
      <c r="E648" s="79">
        <v>1.95</v>
      </c>
      <c r="F648" s="79">
        <v>17.5383</v>
      </c>
    </row>
    <row r="649" spans="1:6" s="27" customFormat="1" x14ac:dyDescent="0.4">
      <c r="A649" s="76"/>
      <c r="B649" s="77"/>
      <c r="C649" s="78" t="s">
        <v>108</v>
      </c>
      <c r="D649" s="77" t="s">
        <v>14</v>
      </c>
      <c r="E649" s="79">
        <v>4.0000000000000002E-4</v>
      </c>
      <c r="F649" s="79">
        <v>3.5980000000000001E-3</v>
      </c>
    </row>
    <row r="650" spans="1:6" s="27" customFormat="1" ht="23.25" x14ac:dyDescent="0.4">
      <c r="A650" s="76"/>
      <c r="B650" s="77"/>
      <c r="C650" s="78" t="s">
        <v>315</v>
      </c>
      <c r="D650" s="77" t="s">
        <v>23</v>
      </c>
      <c r="E650" s="79">
        <v>1.0300000000000001E-3</v>
      </c>
      <c r="F650" s="79">
        <v>9.2639999999999997E-3</v>
      </c>
    </row>
    <row r="651" spans="1:6" s="27" customFormat="1" x14ac:dyDescent="0.4">
      <c r="A651" s="76"/>
      <c r="B651" s="77"/>
      <c r="C651" s="78" t="s">
        <v>110</v>
      </c>
      <c r="D651" s="77" t="s">
        <v>76</v>
      </c>
      <c r="E651" s="79">
        <v>0.59</v>
      </c>
      <c r="F651" s="79">
        <v>5.3064999999999998</v>
      </c>
    </row>
    <row r="652" spans="1:6" s="27" customFormat="1" ht="23.25" x14ac:dyDescent="0.4">
      <c r="A652" s="76"/>
      <c r="B652" s="77"/>
      <c r="C652" s="78" t="s">
        <v>239</v>
      </c>
      <c r="D652" s="77" t="s">
        <v>14</v>
      </c>
      <c r="E652" s="79">
        <v>5.0000000000000001E-3</v>
      </c>
      <c r="F652" s="79">
        <v>4.4970000000000003E-2</v>
      </c>
    </row>
    <row r="653" spans="1:6" s="27" customFormat="1" ht="23.25" x14ac:dyDescent="0.4">
      <c r="A653" s="76"/>
      <c r="B653" s="77"/>
      <c r="C653" s="78" t="s">
        <v>240</v>
      </c>
      <c r="D653" s="77" t="s">
        <v>241</v>
      </c>
      <c r="E653" s="79">
        <v>1.8700000000000001E-2</v>
      </c>
      <c r="F653" s="79">
        <v>0.168188</v>
      </c>
    </row>
    <row r="654" spans="1:6" s="27" customFormat="1" x14ac:dyDescent="0.4">
      <c r="A654" s="54" t="s">
        <v>211</v>
      </c>
      <c r="B654" s="55" t="s">
        <v>34</v>
      </c>
      <c r="C654" s="55" t="s">
        <v>840</v>
      </c>
      <c r="D654" s="56" t="s">
        <v>14</v>
      </c>
      <c r="E654" s="104">
        <v>7.5990000000000002</v>
      </c>
      <c r="F654" s="105"/>
    </row>
    <row r="655" spans="1:6" s="27" customFormat="1" x14ac:dyDescent="0.4">
      <c r="A655" s="54" t="s">
        <v>212</v>
      </c>
      <c r="B655" s="55" t="s">
        <v>34</v>
      </c>
      <c r="C655" s="55" t="s">
        <v>841</v>
      </c>
      <c r="D655" s="56" t="s">
        <v>14</v>
      </c>
      <c r="E655" s="104">
        <v>0.33100000000000002</v>
      </c>
      <c r="F655" s="105"/>
    </row>
    <row r="656" spans="1:6" s="27" customFormat="1" x14ac:dyDescent="0.4">
      <c r="A656" s="54" t="s">
        <v>213</v>
      </c>
      <c r="B656" s="55" t="s">
        <v>34</v>
      </c>
      <c r="C656" s="55" t="s">
        <v>589</v>
      </c>
      <c r="D656" s="56" t="s">
        <v>14</v>
      </c>
      <c r="E656" s="104">
        <v>1.0640000000000001</v>
      </c>
      <c r="F656" s="105"/>
    </row>
    <row r="657" spans="1:6" s="27" customFormat="1" x14ac:dyDescent="0.4">
      <c r="A657" s="51"/>
      <c r="B657" s="52"/>
      <c r="C657" s="110" t="s">
        <v>842</v>
      </c>
      <c r="D657" s="110"/>
      <c r="E657" s="52"/>
      <c r="F657" s="53"/>
    </row>
    <row r="658" spans="1:6" s="27" customFormat="1" ht="34.9" x14ac:dyDescent="0.4">
      <c r="A658" s="54" t="s">
        <v>214</v>
      </c>
      <c r="B658" s="55" t="s">
        <v>451</v>
      </c>
      <c r="C658" s="55" t="s">
        <v>581</v>
      </c>
      <c r="D658" s="56" t="s">
        <v>309</v>
      </c>
      <c r="E658" s="106">
        <v>1.4550000000000001</v>
      </c>
      <c r="F658" s="107"/>
    </row>
    <row r="659" spans="1:6" s="27" customFormat="1" x14ac:dyDescent="0.4">
      <c r="A659" s="57"/>
      <c r="B659" s="58"/>
      <c r="C659" s="59" t="s">
        <v>11</v>
      </c>
      <c r="D659" s="58" t="s">
        <v>12</v>
      </c>
      <c r="E659" s="60">
        <v>6.59</v>
      </c>
      <c r="F659" s="60">
        <v>9.5884</v>
      </c>
    </row>
    <row r="660" spans="1:6" s="27" customFormat="1" x14ac:dyDescent="0.4">
      <c r="A660" s="61"/>
      <c r="B660" s="62"/>
      <c r="C660" s="63" t="s">
        <v>18</v>
      </c>
      <c r="D660" s="62" t="s">
        <v>13</v>
      </c>
      <c r="E660" s="64">
        <v>0.15</v>
      </c>
      <c r="F660" s="64">
        <v>0.21825</v>
      </c>
    </row>
    <row r="661" spans="1:6" s="27" customFormat="1" x14ac:dyDescent="0.4">
      <c r="A661" s="65"/>
      <c r="B661" s="66"/>
      <c r="C661" s="67" t="s">
        <v>234</v>
      </c>
      <c r="D661" s="66" t="s">
        <v>13</v>
      </c>
      <c r="E661" s="68">
        <v>0.09</v>
      </c>
      <c r="F661" s="68">
        <v>0.13095000000000001</v>
      </c>
    </row>
    <row r="662" spans="1:6" s="27" customFormat="1" x14ac:dyDescent="0.4">
      <c r="A662" s="65"/>
      <c r="B662" s="66"/>
      <c r="C662" s="67" t="s">
        <v>19</v>
      </c>
      <c r="D662" s="66" t="s">
        <v>13</v>
      </c>
      <c r="E662" s="68">
        <v>0.23</v>
      </c>
      <c r="F662" s="68">
        <v>0.33465</v>
      </c>
    </row>
    <row r="663" spans="1:6" s="27" customFormat="1" x14ac:dyDescent="0.4">
      <c r="A663" s="65"/>
      <c r="B663" s="66"/>
      <c r="C663" s="67" t="s">
        <v>72</v>
      </c>
      <c r="D663" s="66" t="s">
        <v>13</v>
      </c>
      <c r="E663" s="68">
        <v>2.2400000000000002</v>
      </c>
      <c r="F663" s="68">
        <v>3.2591999999999999</v>
      </c>
    </row>
    <row r="664" spans="1:6" s="27" customFormat="1" x14ac:dyDescent="0.4">
      <c r="A664" s="69"/>
      <c r="B664" s="70"/>
      <c r="C664" s="71" t="s">
        <v>26</v>
      </c>
      <c r="D664" s="70" t="s">
        <v>14</v>
      </c>
      <c r="E664" s="72">
        <v>4.0000000000000001E-3</v>
      </c>
      <c r="F664" s="72">
        <v>5.8199999999999997E-3</v>
      </c>
    </row>
    <row r="665" spans="1:6" s="27" customFormat="1" x14ac:dyDescent="0.4">
      <c r="A665" s="76"/>
      <c r="B665" s="77"/>
      <c r="C665" s="78" t="s">
        <v>20</v>
      </c>
      <c r="D665" s="77" t="s">
        <v>14</v>
      </c>
      <c r="E665" s="79">
        <v>1.0000000000000001E-5</v>
      </c>
      <c r="F665" s="79">
        <v>1.5E-5</v>
      </c>
    </row>
    <row r="666" spans="1:6" s="27" customFormat="1" x14ac:dyDescent="0.4">
      <c r="A666" s="76"/>
      <c r="B666" s="77"/>
      <c r="C666" s="78" t="s">
        <v>236</v>
      </c>
      <c r="D666" s="77" t="s">
        <v>14</v>
      </c>
      <c r="E666" s="79">
        <v>3.1E-4</v>
      </c>
      <c r="F666" s="79">
        <v>4.5100000000000001E-4</v>
      </c>
    </row>
    <row r="667" spans="1:6" s="27" customFormat="1" x14ac:dyDescent="0.4">
      <c r="A667" s="76"/>
      <c r="B667" s="77"/>
      <c r="C667" s="78" t="s">
        <v>237</v>
      </c>
      <c r="D667" s="77" t="s">
        <v>14</v>
      </c>
      <c r="E667" s="79">
        <v>5.9999999999999995E-4</v>
      </c>
      <c r="F667" s="79">
        <v>8.7299999999999997E-4</v>
      </c>
    </row>
    <row r="668" spans="1:6" s="27" customFormat="1" x14ac:dyDescent="0.4">
      <c r="A668" s="76"/>
      <c r="B668" s="77"/>
      <c r="C668" s="78" t="s">
        <v>22</v>
      </c>
      <c r="D668" s="77" t="s">
        <v>14</v>
      </c>
      <c r="E668" s="79">
        <v>3.0000000000000001E-5</v>
      </c>
      <c r="F668" s="79">
        <v>4.3999999999999999E-5</v>
      </c>
    </row>
    <row r="669" spans="1:6" s="27" customFormat="1" x14ac:dyDescent="0.4">
      <c r="A669" s="76"/>
      <c r="B669" s="77"/>
      <c r="C669" s="78" t="s">
        <v>77</v>
      </c>
      <c r="D669" s="77" t="s">
        <v>23</v>
      </c>
      <c r="E669" s="79">
        <v>1.95</v>
      </c>
      <c r="F669" s="79">
        <v>2.8372999999999999</v>
      </c>
    </row>
    <row r="670" spans="1:6" s="27" customFormat="1" x14ac:dyDescent="0.4">
      <c r="A670" s="76"/>
      <c r="B670" s="77"/>
      <c r="C670" s="78" t="s">
        <v>108</v>
      </c>
      <c r="D670" s="77" t="s">
        <v>14</v>
      </c>
      <c r="E670" s="79">
        <v>4.0000000000000002E-4</v>
      </c>
      <c r="F670" s="79">
        <v>5.8200000000000005E-4</v>
      </c>
    </row>
    <row r="671" spans="1:6" s="27" customFormat="1" ht="23.25" x14ac:dyDescent="0.4">
      <c r="A671" s="76"/>
      <c r="B671" s="77"/>
      <c r="C671" s="78" t="s">
        <v>315</v>
      </c>
      <c r="D671" s="77" t="s">
        <v>23</v>
      </c>
      <c r="E671" s="79">
        <v>1.0300000000000001E-3</v>
      </c>
      <c r="F671" s="79">
        <v>1.4989999999999999E-3</v>
      </c>
    </row>
    <row r="672" spans="1:6" s="27" customFormat="1" x14ac:dyDescent="0.4">
      <c r="A672" s="76"/>
      <c r="B672" s="77"/>
      <c r="C672" s="78" t="s">
        <v>110</v>
      </c>
      <c r="D672" s="77" t="s">
        <v>76</v>
      </c>
      <c r="E672" s="79">
        <v>0.59</v>
      </c>
      <c r="F672" s="79">
        <v>0.85845000000000005</v>
      </c>
    </row>
    <row r="673" spans="1:6" s="27" customFormat="1" ht="23.25" x14ac:dyDescent="0.4">
      <c r="A673" s="76"/>
      <c r="B673" s="77"/>
      <c r="C673" s="78" t="s">
        <v>239</v>
      </c>
      <c r="D673" s="77" t="s">
        <v>14</v>
      </c>
      <c r="E673" s="79">
        <v>5.0000000000000001E-3</v>
      </c>
      <c r="F673" s="79">
        <v>7.2750000000000002E-3</v>
      </c>
    </row>
    <row r="674" spans="1:6" s="27" customFormat="1" ht="23.25" x14ac:dyDescent="0.4">
      <c r="A674" s="76"/>
      <c r="B674" s="77"/>
      <c r="C674" s="78" t="s">
        <v>240</v>
      </c>
      <c r="D674" s="77" t="s">
        <v>241</v>
      </c>
      <c r="E674" s="79">
        <v>1.8700000000000001E-2</v>
      </c>
      <c r="F674" s="79">
        <v>2.7209000000000001E-2</v>
      </c>
    </row>
    <row r="675" spans="1:6" s="27" customFormat="1" x14ac:dyDescent="0.4">
      <c r="A675" s="54" t="s">
        <v>215</v>
      </c>
      <c r="B675" s="55" t="s">
        <v>34</v>
      </c>
      <c r="C675" s="55" t="s">
        <v>840</v>
      </c>
      <c r="D675" s="56" t="s">
        <v>14</v>
      </c>
      <c r="E675" s="104">
        <v>1.254</v>
      </c>
      <c r="F675" s="105"/>
    </row>
    <row r="676" spans="1:6" s="27" customFormat="1" x14ac:dyDescent="0.4">
      <c r="A676" s="54" t="s">
        <v>216</v>
      </c>
      <c r="B676" s="55" t="s">
        <v>34</v>
      </c>
      <c r="C676" s="55" t="s">
        <v>841</v>
      </c>
      <c r="D676" s="56" t="s">
        <v>14</v>
      </c>
      <c r="E676" s="104">
        <v>4.8000000000000001E-2</v>
      </c>
      <c r="F676" s="105"/>
    </row>
    <row r="677" spans="1:6" s="27" customFormat="1" x14ac:dyDescent="0.4">
      <c r="A677" s="54" t="s">
        <v>217</v>
      </c>
      <c r="B677" s="55" t="s">
        <v>34</v>
      </c>
      <c r="C677" s="55" t="s">
        <v>589</v>
      </c>
      <c r="D677" s="56" t="s">
        <v>14</v>
      </c>
      <c r="E677" s="104">
        <v>0.153</v>
      </c>
      <c r="F677" s="105"/>
    </row>
    <row r="678" spans="1:6" s="27" customFormat="1" x14ac:dyDescent="0.4">
      <c r="A678" s="51"/>
      <c r="B678" s="52"/>
      <c r="C678" s="110" t="s">
        <v>843</v>
      </c>
      <c r="D678" s="110"/>
      <c r="E678" s="52"/>
      <c r="F678" s="53"/>
    </row>
    <row r="679" spans="1:6" s="27" customFormat="1" ht="34.9" x14ac:dyDescent="0.4">
      <c r="A679" s="54" t="s">
        <v>218</v>
      </c>
      <c r="B679" s="55" t="s">
        <v>451</v>
      </c>
      <c r="C679" s="55" t="s">
        <v>581</v>
      </c>
      <c r="D679" s="56" t="s">
        <v>309</v>
      </c>
      <c r="E679" s="106">
        <v>0.41399999999999998</v>
      </c>
      <c r="F679" s="107"/>
    </row>
    <row r="680" spans="1:6" s="27" customFormat="1" x14ac:dyDescent="0.4">
      <c r="A680" s="57"/>
      <c r="B680" s="58"/>
      <c r="C680" s="59" t="s">
        <v>11</v>
      </c>
      <c r="D680" s="58" t="s">
        <v>12</v>
      </c>
      <c r="E680" s="60">
        <v>6.59</v>
      </c>
      <c r="F680" s="60">
        <v>2.7282999999999999</v>
      </c>
    </row>
    <row r="681" spans="1:6" s="27" customFormat="1" x14ac:dyDescent="0.4">
      <c r="A681" s="61"/>
      <c r="B681" s="62"/>
      <c r="C681" s="63" t="s">
        <v>18</v>
      </c>
      <c r="D681" s="62" t="s">
        <v>13</v>
      </c>
      <c r="E681" s="64">
        <v>0.15</v>
      </c>
      <c r="F681" s="64">
        <v>6.2100000000000002E-2</v>
      </c>
    </row>
    <row r="682" spans="1:6" s="27" customFormat="1" x14ac:dyDescent="0.4">
      <c r="A682" s="65"/>
      <c r="B682" s="66"/>
      <c r="C682" s="67" t="s">
        <v>234</v>
      </c>
      <c r="D682" s="66" t="s">
        <v>13</v>
      </c>
      <c r="E682" s="68">
        <v>0.09</v>
      </c>
      <c r="F682" s="68">
        <v>3.7260000000000001E-2</v>
      </c>
    </row>
    <row r="683" spans="1:6" s="27" customFormat="1" x14ac:dyDescent="0.4">
      <c r="A683" s="65"/>
      <c r="B683" s="66"/>
      <c r="C683" s="67" t="s">
        <v>19</v>
      </c>
      <c r="D683" s="66" t="s">
        <v>13</v>
      </c>
      <c r="E683" s="68">
        <v>0.23</v>
      </c>
      <c r="F683" s="68">
        <v>9.5219999999999999E-2</v>
      </c>
    </row>
    <row r="684" spans="1:6" s="27" customFormat="1" x14ac:dyDescent="0.4">
      <c r="A684" s="65"/>
      <c r="B684" s="66"/>
      <c r="C684" s="67" t="s">
        <v>72</v>
      </c>
      <c r="D684" s="66" t="s">
        <v>13</v>
      </c>
      <c r="E684" s="68">
        <v>2.2400000000000002</v>
      </c>
      <c r="F684" s="68">
        <v>0.92735999999999996</v>
      </c>
    </row>
    <row r="685" spans="1:6" s="27" customFormat="1" x14ac:dyDescent="0.4">
      <c r="A685" s="69"/>
      <c r="B685" s="70"/>
      <c r="C685" s="71" t="s">
        <v>26</v>
      </c>
      <c r="D685" s="70" t="s">
        <v>14</v>
      </c>
      <c r="E685" s="72">
        <v>4.0000000000000001E-3</v>
      </c>
      <c r="F685" s="72">
        <v>1.6559999999999999E-3</v>
      </c>
    </row>
    <row r="686" spans="1:6" s="27" customFormat="1" x14ac:dyDescent="0.4">
      <c r="A686" s="76"/>
      <c r="B686" s="77"/>
      <c r="C686" s="78" t="s">
        <v>20</v>
      </c>
      <c r="D686" s="77" t="s">
        <v>14</v>
      </c>
      <c r="E686" s="79">
        <v>1.0000000000000001E-5</v>
      </c>
      <c r="F686" s="79">
        <v>3.9999999999999998E-6</v>
      </c>
    </row>
    <row r="687" spans="1:6" s="27" customFormat="1" x14ac:dyDescent="0.4">
      <c r="A687" s="76"/>
      <c r="B687" s="77"/>
      <c r="C687" s="78" t="s">
        <v>236</v>
      </c>
      <c r="D687" s="77" t="s">
        <v>14</v>
      </c>
      <c r="E687" s="79">
        <v>3.1E-4</v>
      </c>
      <c r="F687" s="79">
        <v>1.2799999999999999E-4</v>
      </c>
    </row>
    <row r="688" spans="1:6" s="27" customFormat="1" x14ac:dyDescent="0.4">
      <c r="A688" s="76"/>
      <c r="B688" s="77"/>
      <c r="C688" s="78" t="s">
        <v>237</v>
      </c>
      <c r="D688" s="77" t="s">
        <v>14</v>
      </c>
      <c r="E688" s="79">
        <v>5.9999999999999995E-4</v>
      </c>
      <c r="F688" s="79">
        <v>2.4800000000000001E-4</v>
      </c>
    </row>
    <row r="689" spans="1:6" s="27" customFormat="1" x14ac:dyDescent="0.4">
      <c r="A689" s="76"/>
      <c r="B689" s="77"/>
      <c r="C689" s="78" t="s">
        <v>22</v>
      </c>
      <c r="D689" s="77" t="s">
        <v>14</v>
      </c>
      <c r="E689" s="79">
        <v>3.0000000000000001E-5</v>
      </c>
      <c r="F689" s="79">
        <v>1.2E-5</v>
      </c>
    </row>
    <row r="690" spans="1:6" s="27" customFormat="1" x14ac:dyDescent="0.4">
      <c r="A690" s="76"/>
      <c r="B690" s="77"/>
      <c r="C690" s="78" t="s">
        <v>77</v>
      </c>
      <c r="D690" s="77" t="s">
        <v>23</v>
      </c>
      <c r="E690" s="79">
        <v>1.95</v>
      </c>
      <c r="F690" s="79">
        <v>0.80730000000000002</v>
      </c>
    </row>
    <row r="691" spans="1:6" s="27" customFormat="1" x14ac:dyDescent="0.4">
      <c r="A691" s="76"/>
      <c r="B691" s="77"/>
      <c r="C691" s="78" t="s">
        <v>108</v>
      </c>
      <c r="D691" s="77" t="s">
        <v>14</v>
      </c>
      <c r="E691" s="79">
        <v>4.0000000000000002E-4</v>
      </c>
      <c r="F691" s="79">
        <v>1.66E-4</v>
      </c>
    </row>
    <row r="692" spans="1:6" s="27" customFormat="1" ht="23.25" x14ac:dyDescent="0.4">
      <c r="A692" s="76"/>
      <c r="B692" s="77"/>
      <c r="C692" s="78" t="s">
        <v>315</v>
      </c>
      <c r="D692" s="77" t="s">
        <v>23</v>
      </c>
      <c r="E692" s="79">
        <v>1.0300000000000001E-3</v>
      </c>
      <c r="F692" s="79">
        <v>4.26E-4</v>
      </c>
    </row>
    <row r="693" spans="1:6" s="27" customFormat="1" x14ac:dyDescent="0.4">
      <c r="A693" s="76"/>
      <c r="B693" s="77"/>
      <c r="C693" s="78" t="s">
        <v>110</v>
      </c>
      <c r="D693" s="77" t="s">
        <v>76</v>
      </c>
      <c r="E693" s="79">
        <v>0.59</v>
      </c>
      <c r="F693" s="79">
        <v>0.24426</v>
      </c>
    </row>
    <row r="694" spans="1:6" s="27" customFormat="1" ht="23.25" x14ac:dyDescent="0.4">
      <c r="A694" s="76"/>
      <c r="B694" s="77"/>
      <c r="C694" s="78" t="s">
        <v>239</v>
      </c>
      <c r="D694" s="77" t="s">
        <v>14</v>
      </c>
      <c r="E694" s="79">
        <v>5.0000000000000001E-3</v>
      </c>
      <c r="F694" s="79">
        <v>2.0699999999999998E-3</v>
      </c>
    </row>
    <row r="695" spans="1:6" s="27" customFormat="1" ht="23.25" x14ac:dyDescent="0.4">
      <c r="A695" s="76"/>
      <c r="B695" s="77"/>
      <c r="C695" s="78" t="s">
        <v>240</v>
      </c>
      <c r="D695" s="77" t="s">
        <v>241</v>
      </c>
      <c r="E695" s="79">
        <v>1.8700000000000001E-2</v>
      </c>
      <c r="F695" s="79">
        <v>7.7419999999999998E-3</v>
      </c>
    </row>
    <row r="696" spans="1:6" s="27" customFormat="1" x14ac:dyDescent="0.4">
      <c r="A696" s="54" t="s">
        <v>219</v>
      </c>
      <c r="B696" s="55" t="s">
        <v>34</v>
      </c>
      <c r="C696" s="55" t="s">
        <v>840</v>
      </c>
      <c r="D696" s="56" t="s">
        <v>14</v>
      </c>
      <c r="E696" s="104">
        <v>0.36399999999999999</v>
      </c>
      <c r="F696" s="105"/>
    </row>
    <row r="697" spans="1:6" s="27" customFormat="1" x14ac:dyDescent="0.4">
      <c r="A697" s="54" t="s">
        <v>220</v>
      </c>
      <c r="B697" s="55" t="s">
        <v>34</v>
      </c>
      <c r="C697" s="55" t="s">
        <v>841</v>
      </c>
      <c r="D697" s="56" t="s">
        <v>14</v>
      </c>
      <c r="E697" s="104">
        <v>1.6E-2</v>
      </c>
      <c r="F697" s="105"/>
    </row>
    <row r="698" spans="1:6" s="27" customFormat="1" x14ac:dyDescent="0.4">
      <c r="A698" s="54" t="s">
        <v>221</v>
      </c>
      <c r="B698" s="55" t="s">
        <v>34</v>
      </c>
      <c r="C698" s="55" t="s">
        <v>582</v>
      </c>
      <c r="D698" s="56" t="s">
        <v>14</v>
      </c>
      <c r="E698" s="104">
        <v>3.4000000000000002E-2</v>
      </c>
      <c r="F698" s="105"/>
    </row>
    <row r="699" spans="1:6" s="27" customFormat="1" x14ac:dyDescent="0.4">
      <c r="A699" s="51"/>
      <c r="B699" s="52"/>
      <c r="C699" s="110" t="s">
        <v>844</v>
      </c>
      <c r="D699" s="110"/>
      <c r="E699" s="52"/>
      <c r="F699" s="53"/>
    </row>
    <row r="700" spans="1:6" s="27" customFormat="1" ht="34.9" x14ac:dyDescent="0.4">
      <c r="A700" s="54" t="s">
        <v>222</v>
      </c>
      <c r="B700" s="55" t="s">
        <v>451</v>
      </c>
      <c r="C700" s="55" t="s">
        <v>581</v>
      </c>
      <c r="D700" s="56" t="s">
        <v>309</v>
      </c>
      <c r="E700" s="106">
        <v>10.287000000000001</v>
      </c>
      <c r="F700" s="107"/>
    </row>
    <row r="701" spans="1:6" s="27" customFormat="1" x14ac:dyDescent="0.4">
      <c r="A701" s="57"/>
      <c r="B701" s="58"/>
      <c r="C701" s="59" t="s">
        <v>11</v>
      </c>
      <c r="D701" s="58" t="s">
        <v>12</v>
      </c>
      <c r="E701" s="60">
        <v>6.59</v>
      </c>
      <c r="F701" s="60">
        <v>67.791300000000007</v>
      </c>
    </row>
    <row r="702" spans="1:6" s="27" customFormat="1" x14ac:dyDescent="0.4">
      <c r="A702" s="61"/>
      <c r="B702" s="62"/>
      <c r="C702" s="63" t="s">
        <v>18</v>
      </c>
      <c r="D702" s="62" t="s">
        <v>13</v>
      </c>
      <c r="E702" s="64">
        <v>0.15</v>
      </c>
      <c r="F702" s="64">
        <v>1.5430999999999999</v>
      </c>
    </row>
    <row r="703" spans="1:6" s="27" customFormat="1" x14ac:dyDescent="0.4">
      <c r="A703" s="65"/>
      <c r="B703" s="66"/>
      <c r="C703" s="67" t="s">
        <v>234</v>
      </c>
      <c r="D703" s="66" t="s">
        <v>13</v>
      </c>
      <c r="E703" s="68">
        <v>0.09</v>
      </c>
      <c r="F703" s="68">
        <v>0.92583000000000004</v>
      </c>
    </row>
    <row r="704" spans="1:6" s="27" customFormat="1" x14ac:dyDescent="0.4">
      <c r="A704" s="65"/>
      <c r="B704" s="66"/>
      <c r="C704" s="67" t="s">
        <v>19</v>
      </c>
      <c r="D704" s="66" t="s">
        <v>13</v>
      </c>
      <c r="E704" s="68">
        <v>0.23</v>
      </c>
      <c r="F704" s="68">
        <v>2.3660000000000001</v>
      </c>
    </row>
    <row r="705" spans="1:6" s="27" customFormat="1" x14ac:dyDescent="0.4">
      <c r="A705" s="65"/>
      <c r="B705" s="66"/>
      <c r="C705" s="67" t="s">
        <v>72</v>
      </c>
      <c r="D705" s="66" t="s">
        <v>13</v>
      </c>
      <c r="E705" s="68">
        <v>2.2400000000000002</v>
      </c>
      <c r="F705" s="68">
        <v>23.042899999999999</v>
      </c>
    </row>
    <row r="706" spans="1:6" s="27" customFormat="1" x14ac:dyDescent="0.4">
      <c r="A706" s="69"/>
      <c r="B706" s="70"/>
      <c r="C706" s="71" t="s">
        <v>26</v>
      </c>
      <c r="D706" s="70" t="s">
        <v>14</v>
      </c>
      <c r="E706" s="72">
        <v>4.0000000000000001E-3</v>
      </c>
      <c r="F706" s="72">
        <v>4.1147999999999997E-2</v>
      </c>
    </row>
    <row r="707" spans="1:6" s="27" customFormat="1" x14ac:dyDescent="0.4">
      <c r="A707" s="76"/>
      <c r="B707" s="77"/>
      <c r="C707" s="78" t="s">
        <v>20</v>
      </c>
      <c r="D707" s="77" t="s">
        <v>14</v>
      </c>
      <c r="E707" s="79">
        <v>1.0000000000000001E-5</v>
      </c>
      <c r="F707" s="79">
        <v>1.03E-4</v>
      </c>
    </row>
    <row r="708" spans="1:6" s="27" customFormat="1" x14ac:dyDescent="0.4">
      <c r="A708" s="76"/>
      <c r="B708" s="77"/>
      <c r="C708" s="78" t="s">
        <v>236</v>
      </c>
      <c r="D708" s="77" t="s">
        <v>14</v>
      </c>
      <c r="E708" s="79">
        <v>3.1E-4</v>
      </c>
      <c r="F708" s="79">
        <v>3.189E-3</v>
      </c>
    </row>
    <row r="709" spans="1:6" s="27" customFormat="1" x14ac:dyDescent="0.4">
      <c r="A709" s="76"/>
      <c r="B709" s="77"/>
      <c r="C709" s="78" t="s">
        <v>237</v>
      </c>
      <c r="D709" s="77" t="s">
        <v>14</v>
      </c>
      <c r="E709" s="79">
        <v>5.9999999999999995E-4</v>
      </c>
      <c r="F709" s="79">
        <v>6.1720000000000004E-3</v>
      </c>
    </row>
    <row r="710" spans="1:6" s="27" customFormat="1" x14ac:dyDescent="0.4">
      <c r="A710" s="76"/>
      <c r="B710" s="77"/>
      <c r="C710" s="78" t="s">
        <v>22</v>
      </c>
      <c r="D710" s="77" t="s">
        <v>14</v>
      </c>
      <c r="E710" s="79">
        <v>3.0000000000000001E-5</v>
      </c>
      <c r="F710" s="79">
        <v>3.0899999999999998E-4</v>
      </c>
    </row>
    <row r="711" spans="1:6" s="27" customFormat="1" x14ac:dyDescent="0.4">
      <c r="A711" s="76"/>
      <c r="B711" s="77"/>
      <c r="C711" s="78" t="s">
        <v>77</v>
      </c>
      <c r="D711" s="77" t="s">
        <v>23</v>
      </c>
      <c r="E711" s="79">
        <v>1.95</v>
      </c>
      <c r="F711" s="79">
        <v>20.0596</v>
      </c>
    </row>
    <row r="712" spans="1:6" s="27" customFormat="1" x14ac:dyDescent="0.4">
      <c r="A712" s="76"/>
      <c r="B712" s="77"/>
      <c r="C712" s="78" t="s">
        <v>108</v>
      </c>
      <c r="D712" s="77" t="s">
        <v>14</v>
      </c>
      <c r="E712" s="79">
        <v>4.0000000000000002E-4</v>
      </c>
      <c r="F712" s="79">
        <v>4.1149999999999997E-3</v>
      </c>
    </row>
    <row r="713" spans="1:6" s="27" customFormat="1" ht="23.25" x14ac:dyDescent="0.4">
      <c r="A713" s="76"/>
      <c r="B713" s="77"/>
      <c r="C713" s="78" t="s">
        <v>315</v>
      </c>
      <c r="D713" s="77" t="s">
        <v>23</v>
      </c>
      <c r="E713" s="79">
        <v>1.0300000000000001E-3</v>
      </c>
      <c r="F713" s="79">
        <v>1.0596E-2</v>
      </c>
    </row>
    <row r="714" spans="1:6" s="27" customFormat="1" x14ac:dyDescent="0.4">
      <c r="A714" s="76"/>
      <c r="B714" s="77"/>
      <c r="C714" s="78" t="s">
        <v>110</v>
      </c>
      <c r="D714" s="77" t="s">
        <v>76</v>
      </c>
      <c r="E714" s="79">
        <v>0.59</v>
      </c>
      <c r="F714" s="79">
        <v>6.0693000000000001</v>
      </c>
    </row>
    <row r="715" spans="1:6" s="27" customFormat="1" ht="23.25" x14ac:dyDescent="0.4">
      <c r="A715" s="76"/>
      <c r="B715" s="77"/>
      <c r="C715" s="78" t="s">
        <v>239</v>
      </c>
      <c r="D715" s="77" t="s">
        <v>14</v>
      </c>
      <c r="E715" s="79">
        <v>5.0000000000000001E-3</v>
      </c>
      <c r="F715" s="79">
        <v>5.1435000000000002E-2</v>
      </c>
    </row>
    <row r="716" spans="1:6" s="27" customFormat="1" ht="23.25" x14ac:dyDescent="0.4">
      <c r="A716" s="76"/>
      <c r="B716" s="77"/>
      <c r="C716" s="78" t="s">
        <v>240</v>
      </c>
      <c r="D716" s="77" t="s">
        <v>241</v>
      </c>
      <c r="E716" s="79">
        <v>1.8700000000000001E-2</v>
      </c>
      <c r="F716" s="79">
        <v>0.19236700000000001</v>
      </c>
    </row>
    <row r="717" spans="1:6" s="27" customFormat="1" x14ac:dyDescent="0.4">
      <c r="A717" s="54" t="s">
        <v>223</v>
      </c>
      <c r="B717" s="55" t="s">
        <v>34</v>
      </c>
      <c r="C717" s="55" t="s">
        <v>840</v>
      </c>
      <c r="D717" s="56" t="s">
        <v>14</v>
      </c>
      <c r="E717" s="104">
        <v>9.1950000000000003</v>
      </c>
      <c r="F717" s="105"/>
    </row>
    <row r="718" spans="1:6" s="27" customFormat="1" x14ac:dyDescent="0.4">
      <c r="A718" s="54" t="s">
        <v>224</v>
      </c>
      <c r="B718" s="55" t="s">
        <v>34</v>
      </c>
      <c r="C718" s="55" t="s">
        <v>841</v>
      </c>
      <c r="D718" s="56" t="s">
        <v>14</v>
      </c>
      <c r="E718" s="104">
        <v>0.34799999999999998</v>
      </c>
      <c r="F718" s="105"/>
    </row>
    <row r="719" spans="1:6" s="27" customFormat="1" x14ac:dyDescent="0.4">
      <c r="A719" s="54" t="s">
        <v>225</v>
      </c>
      <c r="B719" s="55" t="s">
        <v>34</v>
      </c>
      <c r="C719" s="55" t="s">
        <v>582</v>
      </c>
      <c r="D719" s="56" t="s">
        <v>14</v>
      </c>
      <c r="E719" s="104">
        <v>0.74399999999999999</v>
      </c>
      <c r="F719" s="105"/>
    </row>
    <row r="720" spans="1:6" s="27" customFormat="1" x14ac:dyDescent="0.4">
      <c r="A720" s="51"/>
      <c r="B720" s="52"/>
      <c r="C720" s="110" t="s">
        <v>845</v>
      </c>
      <c r="D720" s="110"/>
      <c r="E720" s="52"/>
      <c r="F720" s="53"/>
    </row>
    <row r="721" spans="1:6" s="27" customFormat="1" ht="34.9" x14ac:dyDescent="0.4">
      <c r="A721" s="54" t="s">
        <v>226</v>
      </c>
      <c r="B721" s="55" t="s">
        <v>451</v>
      </c>
      <c r="C721" s="55" t="s">
        <v>581</v>
      </c>
      <c r="D721" s="56" t="s">
        <v>309</v>
      </c>
      <c r="E721" s="106">
        <v>2.1080000000000001</v>
      </c>
      <c r="F721" s="107"/>
    </row>
    <row r="722" spans="1:6" s="27" customFormat="1" x14ac:dyDescent="0.4">
      <c r="A722" s="57"/>
      <c r="B722" s="58"/>
      <c r="C722" s="59" t="s">
        <v>11</v>
      </c>
      <c r="D722" s="58" t="s">
        <v>12</v>
      </c>
      <c r="E722" s="60">
        <v>6.59</v>
      </c>
      <c r="F722" s="60">
        <v>13.8917</v>
      </c>
    </row>
    <row r="723" spans="1:6" s="27" customFormat="1" x14ac:dyDescent="0.4">
      <c r="A723" s="61"/>
      <c r="B723" s="62"/>
      <c r="C723" s="63" t="s">
        <v>18</v>
      </c>
      <c r="D723" s="62" t="s">
        <v>13</v>
      </c>
      <c r="E723" s="64">
        <v>0.15</v>
      </c>
      <c r="F723" s="64">
        <v>0.31619999999999998</v>
      </c>
    </row>
    <row r="724" spans="1:6" s="27" customFormat="1" x14ac:dyDescent="0.4">
      <c r="A724" s="65"/>
      <c r="B724" s="66"/>
      <c r="C724" s="67" t="s">
        <v>234</v>
      </c>
      <c r="D724" s="66" t="s">
        <v>13</v>
      </c>
      <c r="E724" s="68">
        <v>0.09</v>
      </c>
      <c r="F724" s="68">
        <v>0.18972</v>
      </c>
    </row>
    <row r="725" spans="1:6" s="27" customFormat="1" x14ac:dyDescent="0.4">
      <c r="A725" s="65"/>
      <c r="B725" s="66"/>
      <c r="C725" s="67" t="s">
        <v>19</v>
      </c>
      <c r="D725" s="66" t="s">
        <v>13</v>
      </c>
      <c r="E725" s="68">
        <v>0.23</v>
      </c>
      <c r="F725" s="68">
        <v>0.48483999999999999</v>
      </c>
    </row>
    <row r="726" spans="1:6" s="27" customFormat="1" x14ac:dyDescent="0.4">
      <c r="A726" s="65"/>
      <c r="B726" s="66"/>
      <c r="C726" s="67" t="s">
        <v>72</v>
      </c>
      <c r="D726" s="66" t="s">
        <v>13</v>
      </c>
      <c r="E726" s="68">
        <v>2.2400000000000002</v>
      </c>
      <c r="F726" s="68">
        <v>4.7218999999999998</v>
      </c>
    </row>
    <row r="727" spans="1:6" s="27" customFormat="1" x14ac:dyDescent="0.4">
      <c r="A727" s="69"/>
      <c r="B727" s="70"/>
      <c r="C727" s="71" t="s">
        <v>26</v>
      </c>
      <c r="D727" s="70" t="s">
        <v>14</v>
      </c>
      <c r="E727" s="72">
        <v>4.0000000000000001E-3</v>
      </c>
      <c r="F727" s="72">
        <v>8.4320000000000003E-3</v>
      </c>
    </row>
    <row r="728" spans="1:6" s="27" customFormat="1" x14ac:dyDescent="0.4">
      <c r="A728" s="76"/>
      <c r="B728" s="77"/>
      <c r="C728" s="78" t="s">
        <v>20</v>
      </c>
      <c r="D728" s="77" t="s">
        <v>14</v>
      </c>
      <c r="E728" s="79">
        <v>1.0000000000000001E-5</v>
      </c>
      <c r="F728" s="79">
        <v>2.0999999999999999E-5</v>
      </c>
    </row>
    <row r="729" spans="1:6" s="27" customFormat="1" x14ac:dyDescent="0.4">
      <c r="A729" s="76"/>
      <c r="B729" s="77"/>
      <c r="C729" s="78" t="s">
        <v>236</v>
      </c>
      <c r="D729" s="77" t="s">
        <v>14</v>
      </c>
      <c r="E729" s="79">
        <v>3.1E-4</v>
      </c>
      <c r="F729" s="79">
        <v>6.5300000000000004E-4</v>
      </c>
    </row>
    <row r="730" spans="1:6" s="27" customFormat="1" x14ac:dyDescent="0.4">
      <c r="A730" s="76"/>
      <c r="B730" s="77"/>
      <c r="C730" s="78" t="s">
        <v>237</v>
      </c>
      <c r="D730" s="77" t="s">
        <v>14</v>
      </c>
      <c r="E730" s="79">
        <v>5.9999999999999995E-4</v>
      </c>
      <c r="F730" s="79">
        <v>1.2650000000000001E-3</v>
      </c>
    </row>
    <row r="731" spans="1:6" s="27" customFormat="1" x14ac:dyDescent="0.4">
      <c r="A731" s="76"/>
      <c r="B731" s="77"/>
      <c r="C731" s="78" t="s">
        <v>22</v>
      </c>
      <c r="D731" s="77" t="s">
        <v>14</v>
      </c>
      <c r="E731" s="79">
        <v>3.0000000000000001E-5</v>
      </c>
      <c r="F731" s="79">
        <v>6.3E-5</v>
      </c>
    </row>
    <row r="732" spans="1:6" s="27" customFormat="1" x14ac:dyDescent="0.4">
      <c r="A732" s="76"/>
      <c r="B732" s="77"/>
      <c r="C732" s="78" t="s">
        <v>77</v>
      </c>
      <c r="D732" s="77" t="s">
        <v>23</v>
      </c>
      <c r="E732" s="79">
        <v>1.95</v>
      </c>
      <c r="F732" s="79">
        <v>4.1105999999999998</v>
      </c>
    </row>
    <row r="733" spans="1:6" s="27" customFormat="1" x14ac:dyDescent="0.4">
      <c r="A733" s="76"/>
      <c r="B733" s="77"/>
      <c r="C733" s="78" t="s">
        <v>108</v>
      </c>
      <c r="D733" s="77" t="s">
        <v>14</v>
      </c>
      <c r="E733" s="79">
        <v>4.0000000000000002E-4</v>
      </c>
      <c r="F733" s="79">
        <v>8.43E-4</v>
      </c>
    </row>
    <row r="734" spans="1:6" s="27" customFormat="1" ht="23.25" x14ac:dyDescent="0.4">
      <c r="A734" s="76"/>
      <c r="B734" s="77"/>
      <c r="C734" s="78" t="s">
        <v>315</v>
      </c>
      <c r="D734" s="77" t="s">
        <v>23</v>
      </c>
      <c r="E734" s="79">
        <v>1.0300000000000001E-3</v>
      </c>
      <c r="F734" s="79">
        <v>2.1710000000000002E-3</v>
      </c>
    </row>
    <row r="735" spans="1:6" s="27" customFormat="1" x14ac:dyDescent="0.4">
      <c r="A735" s="76"/>
      <c r="B735" s="77"/>
      <c r="C735" s="78" t="s">
        <v>110</v>
      </c>
      <c r="D735" s="77" t="s">
        <v>76</v>
      </c>
      <c r="E735" s="79">
        <v>0.59</v>
      </c>
      <c r="F735" s="79">
        <v>1.2437</v>
      </c>
    </row>
    <row r="736" spans="1:6" s="27" customFormat="1" ht="23.25" x14ac:dyDescent="0.4">
      <c r="A736" s="76"/>
      <c r="B736" s="77"/>
      <c r="C736" s="78" t="s">
        <v>239</v>
      </c>
      <c r="D736" s="77" t="s">
        <v>14</v>
      </c>
      <c r="E736" s="79">
        <v>5.0000000000000001E-3</v>
      </c>
      <c r="F736" s="79">
        <v>1.0540000000000001E-2</v>
      </c>
    </row>
    <row r="737" spans="1:6" s="27" customFormat="1" ht="23.25" x14ac:dyDescent="0.4">
      <c r="A737" s="76"/>
      <c r="B737" s="77"/>
      <c r="C737" s="78" t="s">
        <v>240</v>
      </c>
      <c r="D737" s="77" t="s">
        <v>241</v>
      </c>
      <c r="E737" s="79">
        <v>1.8700000000000001E-2</v>
      </c>
      <c r="F737" s="79">
        <v>3.9419999999999997E-2</v>
      </c>
    </row>
    <row r="738" spans="1:6" s="27" customFormat="1" x14ac:dyDescent="0.4">
      <c r="A738" s="54" t="s">
        <v>227</v>
      </c>
      <c r="B738" s="55" t="s">
        <v>34</v>
      </c>
      <c r="C738" s="55" t="s">
        <v>840</v>
      </c>
      <c r="D738" s="56" t="s">
        <v>14</v>
      </c>
      <c r="E738" s="104">
        <v>1.8180000000000001</v>
      </c>
      <c r="F738" s="105"/>
    </row>
    <row r="739" spans="1:6" s="27" customFormat="1" x14ac:dyDescent="0.4">
      <c r="A739" s="54" t="s">
        <v>228</v>
      </c>
      <c r="B739" s="55" t="s">
        <v>34</v>
      </c>
      <c r="C739" s="55" t="s">
        <v>841</v>
      </c>
      <c r="D739" s="56" t="s">
        <v>14</v>
      </c>
      <c r="E739" s="104">
        <v>0.129</v>
      </c>
      <c r="F739" s="105"/>
    </row>
    <row r="740" spans="1:6" s="27" customFormat="1" x14ac:dyDescent="0.4">
      <c r="A740" s="54" t="s">
        <v>229</v>
      </c>
      <c r="B740" s="55" t="s">
        <v>34</v>
      </c>
      <c r="C740" s="55" t="s">
        <v>582</v>
      </c>
      <c r="D740" s="56" t="s">
        <v>14</v>
      </c>
      <c r="E740" s="104">
        <v>0.161</v>
      </c>
      <c r="F740" s="105"/>
    </row>
    <row r="741" spans="1:6" s="27" customFormat="1" x14ac:dyDescent="0.4">
      <c r="A741" s="51"/>
      <c r="B741" s="52"/>
      <c r="C741" s="110" t="s">
        <v>846</v>
      </c>
      <c r="D741" s="110"/>
      <c r="E741" s="52"/>
      <c r="F741" s="53"/>
    </row>
    <row r="742" spans="1:6" s="27" customFormat="1" x14ac:dyDescent="0.4">
      <c r="A742" s="54" t="s">
        <v>230</v>
      </c>
      <c r="B742" s="55" t="s">
        <v>565</v>
      </c>
      <c r="C742" s="55" t="s">
        <v>566</v>
      </c>
      <c r="D742" s="56" t="s">
        <v>14</v>
      </c>
      <c r="E742" s="106">
        <v>0.41799999999999998</v>
      </c>
      <c r="F742" s="107"/>
    </row>
    <row r="743" spans="1:6" s="27" customFormat="1" x14ac:dyDescent="0.4">
      <c r="A743" s="57"/>
      <c r="B743" s="58"/>
      <c r="C743" s="59" t="s">
        <v>11</v>
      </c>
      <c r="D743" s="58" t="s">
        <v>12</v>
      </c>
      <c r="E743" s="74">
        <v>44</v>
      </c>
      <c r="F743" s="60">
        <v>18.391999999999999</v>
      </c>
    </row>
    <row r="744" spans="1:6" s="27" customFormat="1" x14ac:dyDescent="0.4">
      <c r="A744" s="61"/>
      <c r="B744" s="62"/>
      <c r="C744" s="63" t="s">
        <v>107</v>
      </c>
      <c r="D744" s="62" t="s">
        <v>13</v>
      </c>
      <c r="E744" s="64">
        <v>0.43</v>
      </c>
      <c r="F744" s="64">
        <v>0.17974000000000001</v>
      </c>
    </row>
    <row r="745" spans="1:6" s="27" customFormat="1" x14ac:dyDescent="0.4">
      <c r="A745" s="65"/>
      <c r="B745" s="66"/>
      <c r="C745" s="67" t="s">
        <v>19</v>
      </c>
      <c r="D745" s="66" t="s">
        <v>13</v>
      </c>
      <c r="E745" s="68">
        <v>0.1</v>
      </c>
      <c r="F745" s="68">
        <v>4.1799999999999997E-2</v>
      </c>
    </row>
    <row r="746" spans="1:6" s="27" customFormat="1" x14ac:dyDescent="0.4">
      <c r="A746" s="69"/>
      <c r="B746" s="70"/>
      <c r="C746" s="71" t="s">
        <v>567</v>
      </c>
      <c r="D746" s="70" t="s">
        <v>14</v>
      </c>
      <c r="E746" s="72">
        <v>5.1000000000000004E-3</v>
      </c>
      <c r="F746" s="72">
        <v>2.1320000000000002E-3</v>
      </c>
    </row>
    <row r="747" spans="1:6" s="27" customFormat="1" x14ac:dyDescent="0.4">
      <c r="A747" s="54" t="s">
        <v>231</v>
      </c>
      <c r="B747" s="55" t="s">
        <v>34</v>
      </c>
      <c r="C747" s="55" t="s">
        <v>568</v>
      </c>
      <c r="D747" s="56" t="s">
        <v>14</v>
      </c>
      <c r="E747" s="104">
        <v>0.39100000000000001</v>
      </c>
      <c r="F747" s="105"/>
    </row>
    <row r="748" spans="1:6" s="27" customFormat="1" x14ac:dyDescent="0.4">
      <c r="A748" s="54" t="s">
        <v>242</v>
      </c>
      <c r="B748" s="55" t="s">
        <v>34</v>
      </c>
      <c r="C748" s="55" t="s">
        <v>847</v>
      </c>
      <c r="D748" s="56" t="s">
        <v>14</v>
      </c>
      <c r="E748" s="104">
        <v>2.7E-2</v>
      </c>
      <c r="F748" s="105"/>
    </row>
    <row r="749" spans="1:6" s="27" customFormat="1" ht="23.25" x14ac:dyDescent="0.4">
      <c r="A749" s="54" t="s">
        <v>243</v>
      </c>
      <c r="B749" s="55" t="s">
        <v>848</v>
      </c>
      <c r="C749" s="55" t="s">
        <v>849</v>
      </c>
      <c r="D749" s="56" t="s">
        <v>850</v>
      </c>
      <c r="E749" s="106">
        <v>5.76</v>
      </c>
      <c r="F749" s="107"/>
    </row>
    <row r="750" spans="1:6" s="27" customFormat="1" x14ac:dyDescent="0.4">
      <c r="A750" s="57"/>
      <c r="B750" s="58"/>
      <c r="C750" s="59" t="s">
        <v>11</v>
      </c>
      <c r="D750" s="58" t="s">
        <v>12</v>
      </c>
      <c r="E750" s="60">
        <v>14.1</v>
      </c>
      <c r="F750" s="60">
        <v>81.215999999999994</v>
      </c>
    </row>
    <row r="751" spans="1:6" s="27" customFormat="1" x14ac:dyDescent="0.4">
      <c r="A751" s="61"/>
      <c r="B751" s="62"/>
      <c r="C751" s="63" t="s">
        <v>25</v>
      </c>
      <c r="D751" s="62" t="s">
        <v>13</v>
      </c>
      <c r="E751" s="64">
        <v>2.2000000000000002</v>
      </c>
      <c r="F751" s="64">
        <v>12.672000000000001</v>
      </c>
    </row>
    <row r="752" spans="1:6" s="27" customFormat="1" x14ac:dyDescent="0.4">
      <c r="A752" s="54" t="s">
        <v>244</v>
      </c>
      <c r="B752" s="55" t="s">
        <v>34</v>
      </c>
      <c r="C752" s="55" t="s">
        <v>851</v>
      </c>
      <c r="D752" s="56" t="s">
        <v>30</v>
      </c>
      <c r="E752" s="108">
        <v>576</v>
      </c>
      <c r="F752" s="109"/>
    </row>
    <row r="753" spans="1:6" s="27" customFormat="1" x14ac:dyDescent="0.4">
      <c r="A753" s="51"/>
      <c r="B753" s="52"/>
      <c r="C753" s="110" t="s">
        <v>852</v>
      </c>
      <c r="D753" s="110"/>
      <c r="E753" s="52"/>
      <c r="F753" s="53"/>
    </row>
    <row r="754" spans="1:6" s="27" customFormat="1" x14ac:dyDescent="0.4">
      <c r="A754" s="54" t="s">
        <v>245</v>
      </c>
      <c r="B754" s="55" t="s">
        <v>565</v>
      </c>
      <c r="C754" s="55" t="s">
        <v>566</v>
      </c>
      <c r="D754" s="56" t="s">
        <v>14</v>
      </c>
      <c r="E754" s="106">
        <v>0.65800000000000003</v>
      </c>
      <c r="F754" s="107"/>
    </row>
    <row r="755" spans="1:6" s="27" customFormat="1" x14ac:dyDescent="0.4">
      <c r="A755" s="57"/>
      <c r="B755" s="58"/>
      <c r="C755" s="59" t="s">
        <v>11</v>
      </c>
      <c r="D755" s="58" t="s">
        <v>12</v>
      </c>
      <c r="E755" s="74">
        <v>44</v>
      </c>
      <c r="F755" s="60">
        <v>28.952000000000002</v>
      </c>
    </row>
    <row r="756" spans="1:6" s="27" customFormat="1" x14ac:dyDescent="0.4">
      <c r="A756" s="61"/>
      <c r="B756" s="62"/>
      <c r="C756" s="63" t="s">
        <v>107</v>
      </c>
      <c r="D756" s="62" t="s">
        <v>13</v>
      </c>
      <c r="E756" s="64">
        <v>0.43</v>
      </c>
      <c r="F756" s="64">
        <v>0.28294000000000002</v>
      </c>
    </row>
    <row r="757" spans="1:6" s="27" customFormat="1" x14ac:dyDescent="0.4">
      <c r="A757" s="65"/>
      <c r="B757" s="66"/>
      <c r="C757" s="67" t="s">
        <v>19</v>
      </c>
      <c r="D757" s="66" t="s">
        <v>13</v>
      </c>
      <c r="E757" s="68">
        <v>0.1</v>
      </c>
      <c r="F757" s="68">
        <v>6.5799999999999997E-2</v>
      </c>
    </row>
    <row r="758" spans="1:6" s="27" customFormat="1" x14ac:dyDescent="0.4">
      <c r="A758" s="69"/>
      <c r="B758" s="70"/>
      <c r="C758" s="71" t="s">
        <v>567</v>
      </c>
      <c r="D758" s="70" t="s">
        <v>14</v>
      </c>
      <c r="E758" s="72">
        <v>5.1000000000000004E-3</v>
      </c>
      <c r="F758" s="72">
        <v>3.356E-3</v>
      </c>
    </row>
    <row r="759" spans="1:6" s="27" customFormat="1" x14ac:dyDescent="0.4">
      <c r="A759" s="54" t="s">
        <v>246</v>
      </c>
      <c r="B759" s="55" t="s">
        <v>34</v>
      </c>
      <c r="C759" s="55" t="s">
        <v>568</v>
      </c>
      <c r="D759" s="56" t="s">
        <v>14</v>
      </c>
      <c r="E759" s="104">
        <v>0.624</v>
      </c>
      <c r="F759" s="105"/>
    </row>
    <row r="760" spans="1:6" s="27" customFormat="1" x14ac:dyDescent="0.4">
      <c r="A760" s="54" t="s">
        <v>247</v>
      </c>
      <c r="B760" s="55" t="s">
        <v>34</v>
      </c>
      <c r="C760" s="55" t="s">
        <v>847</v>
      </c>
      <c r="D760" s="56" t="s">
        <v>14</v>
      </c>
      <c r="E760" s="104">
        <v>3.4000000000000002E-2</v>
      </c>
      <c r="F760" s="105"/>
    </row>
    <row r="761" spans="1:6" s="27" customFormat="1" ht="23.25" x14ac:dyDescent="0.4">
      <c r="A761" s="54" t="s">
        <v>139</v>
      </c>
      <c r="B761" s="55" t="s">
        <v>848</v>
      </c>
      <c r="C761" s="55" t="s">
        <v>849</v>
      </c>
      <c r="D761" s="56" t="s">
        <v>850</v>
      </c>
      <c r="E761" s="106">
        <v>7.2</v>
      </c>
      <c r="F761" s="107"/>
    </row>
    <row r="762" spans="1:6" s="27" customFormat="1" x14ac:dyDescent="0.4">
      <c r="A762" s="57"/>
      <c r="B762" s="58"/>
      <c r="C762" s="59" t="s">
        <v>11</v>
      </c>
      <c r="D762" s="58" t="s">
        <v>12</v>
      </c>
      <c r="E762" s="60">
        <v>14.1</v>
      </c>
      <c r="F762" s="60">
        <v>101.52</v>
      </c>
    </row>
    <row r="763" spans="1:6" s="27" customFormat="1" x14ac:dyDescent="0.4">
      <c r="A763" s="61"/>
      <c r="B763" s="62"/>
      <c r="C763" s="63" t="s">
        <v>25</v>
      </c>
      <c r="D763" s="62" t="s">
        <v>13</v>
      </c>
      <c r="E763" s="64">
        <v>2.2000000000000002</v>
      </c>
      <c r="F763" s="64">
        <v>15.84</v>
      </c>
    </row>
    <row r="764" spans="1:6" s="27" customFormat="1" x14ac:dyDescent="0.4">
      <c r="A764" s="54" t="s">
        <v>248</v>
      </c>
      <c r="B764" s="55" t="s">
        <v>34</v>
      </c>
      <c r="C764" s="55" t="s">
        <v>851</v>
      </c>
      <c r="D764" s="56" t="s">
        <v>30</v>
      </c>
      <c r="E764" s="108">
        <v>720</v>
      </c>
      <c r="F764" s="109"/>
    </row>
    <row r="765" spans="1:6" s="27" customFormat="1" x14ac:dyDescent="0.4">
      <c r="A765" s="51"/>
      <c r="B765" s="52"/>
      <c r="C765" s="110" t="s">
        <v>853</v>
      </c>
      <c r="D765" s="110"/>
      <c r="E765" s="52"/>
      <c r="F765" s="53"/>
    </row>
    <row r="766" spans="1:6" s="27" customFormat="1" x14ac:dyDescent="0.4">
      <c r="A766" s="54" t="s">
        <v>249</v>
      </c>
      <c r="B766" s="55" t="s">
        <v>565</v>
      </c>
      <c r="C766" s="55" t="s">
        <v>566</v>
      </c>
      <c r="D766" s="56" t="s">
        <v>14</v>
      </c>
      <c r="E766" s="106">
        <v>0.67300000000000004</v>
      </c>
      <c r="F766" s="107"/>
    </row>
    <row r="767" spans="1:6" s="27" customFormat="1" x14ac:dyDescent="0.4">
      <c r="A767" s="57"/>
      <c r="B767" s="58"/>
      <c r="C767" s="59" t="s">
        <v>11</v>
      </c>
      <c r="D767" s="58" t="s">
        <v>12</v>
      </c>
      <c r="E767" s="74">
        <v>44</v>
      </c>
      <c r="F767" s="60">
        <v>29.611999999999998</v>
      </c>
    </row>
    <row r="768" spans="1:6" s="27" customFormat="1" x14ac:dyDescent="0.4">
      <c r="A768" s="61"/>
      <c r="B768" s="62"/>
      <c r="C768" s="63" t="s">
        <v>107</v>
      </c>
      <c r="D768" s="62" t="s">
        <v>13</v>
      </c>
      <c r="E768" s="64">
        <v>0.43</v>
      </c>
      <c r="F768" s="64">
        <v>0.28938999999999998</v>
      </c>
    </row>
    <row r="769" spans="1:6" s="27" customFormat="1" x14ac:dyDescent="0.4">
      <c r="A769" s="65"/>
      <c r="B769" s="66"/>
      <c r="C769" s="67" t="s">
        <v>19</v>
      </c>
      <c r="D769" s="66" t="s">
        <v>13</v>
      </c>
      <c r="E769" s="68">
        <v>0.1</v>
      </c>
      <c r="F769" s="68">
        <v>6.7299999999999999E-2</v>
      </c>
    </row>
    <row r="770" spans="1:6" s="27" customFormat="1" x14ac:dyDescent="0.4">
      <c r="A770" s="69"/>
      <c r="B770" s="70"/>
      <c r="C770" s="71" t="s">
        <v>567</v>
      </c>
      <c r="D770" s="70" t="s">
        <v>14</v>
      </c>
      <c r="E770" s="72">
        <v>5.1000000000000004E-3</v>
      </c>
      <c r="F770" s="72">
        <v>3.4320000000000002E-3</v>
      </c>
    </row>
    <row r="771" spans="1:6" s="27" customFormat="1" x14ac:dyDescent="0.4">
      <c r="A771" s="54" t="s">
        <v>250</v>
      </c>
      <c r="B771" s="55" t="s">
        <v>34</v>
      </c>
      <c r="C771" s="55" t="s">
        <v>854</v>
      </c>
      <c r="D771" s="56" t="s">
        <v>14</v>
      </c>
      <c r="E771" s="104">
        <v>0.61799999999999999</v>
      </c>
      <c r="F771" s="105"/>
    </row>
    <row r="772" spans="1:6" s="27" customFormat="1" x14ac:dyDescent="0.4">
      <c r="A772" s="54" t="s">
        <v>251</v>
      </c>
      <c r="B772" s="55" t="s">
        <v>34</v>
      </c>
      <c r="C772" s="55" t="s">
        <v>847</v>
      </c>
      <c r="D772" s="56" t="s">
        <v>14</v>
      </c>
      <c r="E772" s="104">
        <v>5.5E-2</v>
      </c>
      <c r="F772" s="105"/>
    </row>
    <row r="773" spans="1:6" s="27" customFormat="1" ht="23.25" x14ac:dyDescent="0.4">
      <c r="A773" s="54" t="s">
        <v>252</v>
      </c>
      <c r="B773" s="55" t="s">
        <v>848</v>
      </c>
      <c r="C773" s="55" t="s">
        <v>849</v>
      </c>
      <c r="D773" s="56" t="s">
        <v>850</v>
      </c>
      <c r="E773" s="106">
        <v>5.04</v>
      </c>
      <c r="F773" s="107"/>
    </row>
    <row r="774" spans="1:6" s="27" customFormat="1" x14ac:dyDescent="0.4">
      <c r="A774" s="57"/>
      <c r="B774" s="58"/>
      <c r="C774" s="59" t="s">
        <v>11</v>
      </c>
      <c r="D774" s="58" t="s">
        <v>12</v>
      </c>
      <c r="E774" s="60">
        <v>14.1</v>
      </c>
      <c r="F774" s="60">
        <v>71.063999999999993</v>
      </c>
    </row>
    <row r="775" spans="1:6" s="27" customFormat="1" x14ac:dyDescent="0.4">
      <c r="A775" s="61"/>
      <c r="B775" s="62"/>
      <c r="C775" s="63" t="s">
        <v>25</v>
      </c>
      <c r="D775" s="62" t="s">
        <v>13</v>
      </c>
      <c r="E775" s="64">
        <v>2.2000000000000002</v>
      </c>
      <c r="F775" s="64">
        <v>11.087999999999999</v>
      </c>
    </row>
    <row r="776" spans="1:6" s="27" customFormat="1" x14ac:dyDescent="0.4">
      <c r="A776" s="54" t="s">
        <v>253</v>
      </c>
      <c r="B776" s="55" t="s">
        <v>34</v>
      </c>
      <c r="C776" s="55" t="s">
        <v>851</v>
      </c>
      <c r="D776" s="56" t="s">
        <v>30</v>
      </c>
      <c r="E776" s="108">
        <v>504</v>
      </c>
      <c r="F776" s="109"/>
    </row>
    <row r="777" spans="1:6" s="27" customFormat="1" x14ac:dyDescent="0.4">
      <c r="A777" s="51"/>
      <c r="B777" s="52"/>
      <c r="C777" s="110" t="s">
        <v>855</v>
      </c>
      <c r="D777" s="110"/>
      <c r="E777" s="52"/>
      <c r="F777" s="53"/>
    </row>
    <row r="778" spans="1:6" s="27" customFormat="1" x14ac:dyDescent="0.4">
      <c r="A778" s="54" t="s">
        <v>254</v>
      </c>
      <c r="B778" s="55" t="s">
        <v>565</v>
      </c>
      <c r="C778" s="55" t="s">
        <v>566</v>
      </c>
      <c r="D778" s="56" t="s">
        <v>14</v>
      </c>
      <c r="E778" s="106">
        <v>1.087</v>
      </c>
      <c r="F778" s="107"/>
    </row>
    <row r="779" spans="1:6" s="27" customFormat="1" x14ac:dyDescent="0.4">
      <c r="A779" s="57"/>
      <c r="B779" s="58"/>
      <c r="C779" s="59" t="s">
        <v>11</v>
      </c>
      <c r="D779" s="58" t="s">
        <v>12</v>
      </c>
      <c r="E779" s="74">
        <v>44</v>
      </c>
      <c r="F779" s="60">
        <v>47.828000000000003</v>
      </c>
    </row>
    <row r="780" spans="1:6" s="27" customFormat="1" x14ac:dyDescent="0.4">
      <c r="A780" s="61"/>
      <c r="B780" s="62"/>
      <c r="C780" s="63" t="s">
        <v>107</v>
      </c>
      <c r="D780" s="62" t="s">
        <v>13</v>
      </c>
      <c r="E780" s="64">
        <v>0.43</v>
      </c>
      <c r="F780" s="64">
        <v>0.46740999999999999</v>
      </c>
    </row>
    <row r="781" spans="1:6" s="27" customFormat="1" x14ac:dyDescent="0.4">
      <c r="A781" s="65"/>
      <c r="B781" s="66"/>
      <c r="C781" s="67" t="s">
        <v>19</v>
      </c>
      <c r="D781" s="66" t="s">
        <v>13</v>
      </c>
      <c r="E781" s="68">
        <v>0.1</v>
      </c>
      <c r="F781" s="68">
        <v>0.1087</v>
      </c>
    </row>
    <row r="782" spans="1:6" s="27" customFormat="1" x14ac:dyDescent="0.4">
      <c r="A782" s="69"/>
      <c r="B782" s="70"/>
      <c r="C782" s="71" t="s">
        <v>567</v>
      </c>
      <c r="D782" s="70" t="s">
        <v>14</v>
      </c>
      <c r="E782" s="72">
        <v>5.1000000000000004E-3</v>
      </c>
      <c r="F782" s="72">
        <v>5.5440000000000003E-3</v>
      </c>
    </row>
    <row r="783" spans="1:6" s="27" customFormat="1" x14ac:dyDescent="0.4">
      <c r="A783" s="54" t="s">
        <v>255</v>
      </c>
      <c r="B783" s="55" t="s">
        <v>34</v>
      </c>
      <c r="C783" s="55" t="s">
        <v>854</v>
      </c>
      <c r="D783" s="56" t="s">
        <v>14</v>
      </c>
      <c r="E783" s="104">
        <v>1.0469999999999999</v>
      </c>
      <c r="F783" s="105"/>
    </row>
    <row r="784" spans="1:6" s="27" customFormat="1" x14ac:dyDescent="0.4">
      <c r="A784" s="54" t="s">
        <v>256</v>
      </c>
      <c r="B784" s="55" t="s">
        <v>34</v>
      </c>
      <c r="C784" s="55" t="s">
        <v>847</v>
      </c>
      <c r="D784" s="56" t="s">
        <v>14</v>
      </c>
      <c r="E784" s="104">
        <v>0.04</v>
      </c>
      <c r="F784" s="105"/>
    </row>
    <row r="785" spans="1:6" s="27" customFormat="1" ht="23.25" x14ac:dyDescent="0.4">
      <c r="A785" s="54" t="s">
        <v>257</v>
      </c>
      <c r="B785" s="55" t="s">
        <v>848</v>
      </c>
      <c r="C785" s="55" t="s">
        <v>849</v>
      </c>
      <c r="D785" s="56" t="s">
        <v>850</v>
      </c>
      <c r="E785" s="106">
        <v>3.6</v>
      </c>
      <c r="F785" s="107"/>
    </row>
    <row r="786" spans="1:6" s="27" customFormat="1" x14ac:dyDescent="0.4">
      <c r="A786" s="57"/>
      <c r="B786" s="58"/>
      <c r="C786" s="59" t="s">
        <v>11</v>
      </c>
      <c r="D786" s="58" t="s">
        <v>12</v>
      </c>
      <c r="E786" s="60">
        <v>14.1</v>
      </c>
      <c r="F786" s="60">
        <v>50.76</v>
      </c>
    </row>
    <row r="787" spans="1:6" s="27" customFormat="1" x14ac:dyDescent="0.4">
      <c r="A787" s="61"/>
      <c r="B787" s="62"/>
      <c r="C787" s="63" t="s">
        <v>25</v>
      </c>
      <c r="D787" s="62" t="s">
        <v>13</v>
      </c>
      <c r="E787" s="64">
        <v>2.2000000000000002</v>
      </c>
      <c r="F787" s="64">
        <v>7.92</v>
      </c>
    </row>
    <row r="788" spans="1:6" s="27" customFormat="1" x14ac:dyDescent="0.4">
      <c r="A788" s="54" t="s">
        <v>258</v>
      </c>
      <c r="B788" s="55" t="s">
        <v>34</v>
      </c>
      <c r="C788" s="55" t="s">
        <v>851</v>
      </c>
      <c r="D788" s="56" t="s">
        <v>30</v>
      </c>
      <c r="E788" s="108">
        <v>360</v>
      </c>
      <c r="F788" s="109"/>
    </row>
    <row r="789" spans="1:6" s="27" customFormat="1" x14ac:dyDescent="0.4">
      <c r="A789" s="51"/>
      <c r="B789" s="52"/>
      <c r="C789" s="110" t="s">
        <v>856</v>
      </c>
      <c r="D789" s="110"/>
      <c r="E789" s="52"/>
      <c r="F789" s="53"/>
    </row>
    <row r="790" spans="1:6" s="27" customFormat="1" x14ac:dyDescent="0.4">
      <c r="A790" s="54" t="s">
        <v>259</v>
      </c>
      <c r="B790" s="55" t="s">
        <v>565</v>
      </c>
      <c r="C790" s="55" t="s">
        <v>566</v>
      </c>
      <c r="D790" s="56" t="s">
        <v>14</v>
      </c>
      <c r="E790" s="106">
        <v>1.2969999999999999</v>
      </c>
      <c r="F790" s="107"/>
    </row>
    <row r="791" spans="1:6" s="27" customFormat="1" x14ac:dyDescent="0.4">
      <c r="A791" s="57"/>
      <c r="B791" s="58"/>
      <c r="C791" s="59" t="s">
        <v>11</v>
      </c>
      <c r="D791" s="58" t="s">
        <v>12</v>
      </c>
      <c r="E791" s="74">
        <v>44</v>
      </c>
      <c r="F791" s="60">
        <v>57.067999999999998</v>
      </c>
    </row>
    <row r="792" spans="1:6" s="27" customFormat="1" x14ac:dyDescent="0.4">
      <c r="A792" s="61"/>
      <c r="B792" s="62"/>
      <c r="C792" s="63" t="s">
        <v>107</v>
      </c>
      <c r="D792" s="62" t="s">
        <v>13</v>
      </c>
      <c r="E792" s="64">
        <v>0.43</v>
      </c>
      <c r="F792" s="64">
        <v>0.55771000000000004</v>
      </c>
    </row>
    <row r="793" spans="1:6" s="27" customFormat="1" x14ac:dyDescent="0.4">
      <c r="A793" s="65"/>
      <c r="B793" s="66"/>
      <c r="C793" s="67" t="s">
        <v>19</v>
      </c>
      <c r="D793" s="66" t="s">
        <v>13</v>
      </c>
      <c r="E793" s="68">
        <v>0.1</v>
      </c>
      <c r="F793" s="68">
        <v>0.12970000000000001</v>
      </c>
    </row>
    <row r="794" spans="1:6" s="27" customFormat="1" x14ac:dyDescent="0.4">
      <c r="A794" s="69"/>
      <c r="B794" s="70"/>
      <c r="C794" s="71" t="s">
        <v>567</v>
      </c>
      <c r="D794" s="70" t="s">
        <v>14</v>
      </c>
      <c r="E794" s="72">
        <v>5.1000000000000004E-3</v>
      </c>
      <c r="F794" s="72">
        <v>6.6150000000000002E-3</v>
      </c>
    </row>
    <row r="795" spans="1:6" s="27" customFormat="1" x14ac:dyDescent="0.4">
      <c r="A795" s="54" t="s">
        <v>260</v>
      </c>
      <c r="B795" s="55" t="s">
        <v>34</v>
      </c>
      <c r="C795" s="55" t="s">
        <v>568</v>
      </c>
      <c r="D795" s="56" t="s">
        <v>14</v>
      </c>
      <c r="E795" s="104">
        <v>1.2529999999999999</v>
      </c>
      <c r="F795" s="105"/>
    </row>
    <row r="796" spans="1:6" s="27" customFormat="1" x14ac:dyDescent="0.4">
      <c r="A796" s="54" t="s">
        <v>261</v>
      </c>
      <c r="B796" s="55" t="s">
        <v>34</v>
      </c>
      <c r="C796" s="55" t="s">
        <v>847</v>
      </c>
      <c r="D796" s="56" t="s">
        <v>14</v>
      </c>
      <c r="E796" s="104">
        <v>4.3999999999999997E-2</v>
      </c>
      <c r="F796" s="105"/>
    </row>
    <row r="797" spans="1:6" s="27" customFormat="1" ht="23.25" x14ac:dyDescent="0.4">
      <c r="A797" s="54" t="s">
        <v>262</v>
      </c>
      <c r="B797" s="55" t="s">
        <v>848</v>
      </c>
      <c r="C797" s="55" t="s">
        <v>849</v>
      </c>
      <c r="D797" s="56" t="s">
        <v>850</v>
      </c>
      <c r="E797" s="106">
        <v>9.36</v>
      </c>
      <c r="F797" s="107"/>
    </row>
    <row r="798" spans="1:6" s="27" customFormat="1" x14ac:dyDescent="0.4">
      <c r="A798" s="57"/>
      <c r="B798" s="58"/>
      <c r="C798" s="59" t="s">
        <v>11</v>
      </c>
      <c r="D798" s="58" t="s">
        <v>12</v>
      </c>
      <c r="E798" s="60">
        <v>14.1</v>
      </c>
      <c r="F798" s="60">
        <v>131.976</v>
      </c>
    </row>
    <row r="799" spans="1:6" s="27" customFormat="1" x14ac:dyDescent="0.4">
      <c r="A799" s="61"/>
      <c r="B799" s="62"/>
      <c r="C799" s="63" t="s">
        <v>25</v>
      </c>
      <c r="D799" s="62" t="s">
        <v>13</v>
      </c>
      <c r="E799" s="64">
        <v>2.2000000000000002</v>
      </c>
      <c r="F799" s="64">
        <v>20.591999999999999</v>
      </c>
    </row>
    <row r="800" spans="1:6" s="27" customFormat="1" x14ac:dyDescent="0.4">
      <c r="A800" s="54" t="s">
        <v>263</v>
      </c>
      <c r="B800" s="55" t="s">
        <v>34</v>
      </c>
      <c r="C800" s="55" t="s">
        <v>851</v>
      </c>
      <c r="D800" s="56" t="s">
        <v>30</v>
      </c>
      <c r="E800" s="108">
        <v>936</v>
      </c>
      <c r="F800" s="109"/>
    </row>
    <row r="801" spans="1:6" s="27" customFormat="1" x14ac:dyDescent="0.4">
      <c r="A801" s="51"/>
      <c r="B801" s="52"/>
      <c r="C801" s="110" t="s">
        <v>857</v>
      </c>
      <c r="D801" s="110"/>
      <c r="E801" s="52"/>
      <c r="F801" s="53"/>
    </row>
    <row r="802" spans="1:6" s="27" customFormat="1" x14ac:dyDescent="0.4">
      <c r="A802" s="54" t="s">
        <v>264</v>
      </c>
      <c r="B802" s="55" t="s">
        <v>565</v>
      </c>
      <c r="C802" s="55" t="s">
        <v>566</v>
      </c>
      <c r="D802" s="56" t="s">
        <v>14</v>
      </c>
      <c r="E802" s="106">
        <v>0.19</v>
      </c>
      <c r="F802" s="107"/>
    </row>
    <row r="803" spans="1:6" s="27" customFormat="1" x14ac:dyDescent="0.4">
      <c r="A803" s="57"/>
      <c r="B803" s="58"/>
      <c r="C803" s="59" t="s">
        <v>11</v>
      </c>
      <c r="D803" s="58" t="s">
        <v>12</v>
      </c>
      <c r="E803" s="74">
        <v>44</v>
      </c>
      <c r="F803" s="60">
        <v>8.36</v>
      </c>
    </row>
    <row r="804" spans="1:6" s="27" customFormat="1" x14ac:dyDescent="0.4">
      <c r="A804" s="61"/>
      <c r="B804" s="62"/>
      <c r="C804" s="63" t="s">
        <v>107</v>
      </c>
      <c r="D804" s="62" t="s">
        <v>13</v>
      </c>
      <c r="E804" s="64">
        <v>0.43</v>
      </c>
      <c r="F804" s="64">
        <v>8.1699999999999995E-2</v>
      </c>
    </row>
    <row r="805" spans="1:6" s="27" customFormat="1" x14ac:dyDescent="0.4">
      <c r="A805" s="65"/>
      <c r="B805" s="66"/>
      <c r="C805" s="67" t="s">
        <v>19</v>
      </c>
      <c r="D805" s="66" t="s">
        <v>13</v>
      </c>
      <c r="E805" s="68">
        <v>0.1</v>
      </c>
      <c r="F805" s="68">
        <v>1.9E-2</v>
      </c>
    </row>
    <row r="806" spans="1:6" s="27" customFormat="1" x14ac:dyDescent="0.4">
      <c r="A806" s="69"/>
      <c r="B806" s="70"/>
      <c r="C806" s="71" t="s">
        <v>567</v>
      </c>
      <c r="D806" s="70" t="s">
        <v>14</v>
      </c>
      <c r="E806" s="72">
        <v>5.1000000000000004E-3</v>
      </c>
      <c r="F806" s="72">
        <v>9.6900000000000003E-4</v>
      </c>
    </row>
    <row r="807" spans="1:6" s="27" customFormat="1" x14ac:dyDescent="0.4">
      <c r="A807" s="54" t="s">
        <v>265</v>
      </c>
      <c r="B807" s="55" t="s">
        <v>34</v>
      </c>
      <c r="C807" s="55" t="s">
        <v>568</v>
      </c>
      <c r="D807" s="56" t="s">
        <v>14</v>
      </c>
      <c r="E807" s="104">
        <v>0.18</v>
      </c>
      <c r="F807" s="105"/>
    </row>
    <row r="808" spans="1:6" s="27" customFormat="1" x14ac:dyDescent="0.4">
      <c r="A808" s="54" t="s">
        <v>266</v>
      </c>
      <c r="B808" s="55" t="s">
        <v>34</v>
      </c>
      <c r="C808" s="55" t="s">
        <v>847</v>
      </c>
      <c r="D808" s="56" t="s">
        <v>14</v>
      </c>
      <c r="E808" s="104">
        <v>0.01</v>
      </c>
      <c r="F808" s="105"/>
    </row>
    <row r="809" spans="1:6" s="27" customFormat="1" ht="23.25" x14ac:dyDescent="0.4">
      <c r="A809" s="54" t="s">
        <v>267</v>
      </c>
      <c r="B809" s="55" t="s">
        <v>848</v>
      </c>
      <c r="C809" s="55" t="s">
        <v>849</v>
      </c>
      <c r="D809" s="56" t="s">
        <v>850</v>
      </c>
      <c r="E809" s="106">
        <v>2.08</v>
      </c>
      <c r="F809" s="107"/>
    </row>
    <row r="810" spans="1:6" s="27" customFormat="1" x14ac:dyDescent="0.4">
      <c r="A810" s="57"/>
      <c r="B810" s="58"/>
      <c r="C810" s="59" t="s">
        <v>11</v>
      </c>
      <c r="D810" s="58" t="s">
        <v>12</v>
      </c>
      <c r="E810" s="60">
        <v>14.1</v>
      </c>
      <c r="F810" s="60">
        <v>29.327999999999999</v>
      </c>
    </row>
    <row r="811" spans="1:6" s="27" customFormat="1" x14ac:dyDescent="0.4">
      <c r="A811" s="61"/>
      <c r="B811" s="62"/>
      <c r="C811" s="63" t="s">
        <v>25</v>
      </c>
      <c r="D811" s="62" t="s">
        <v>13</v>
      </c>
      <c r="E811" s="64">
        <v>2.2000000000000002</v>
      </c>
      <c r="F811" s="64">
        <v>4.5759999999999996</v>
      </c>
    </row>
    <row r="812" spans="1:6" s="27" customFormat="1" x14ac:dyDescent="0.4">
      <c r="A812" s="54" t="s">
        <v>268</v>
      </c>
      <c r="B812" s="55" t="s">
        <v>34</v>
      </c>
      <c r="C812" s="55" t="s">
        <v>851</v>
      </c>
      <c r="D812" s="56" t="s">
        <v>30</v>
      </c>
      <c r="E812" s="108">
        <v>208</v>
      </c>
      <c r="F812" s="109"/>
    </row>
    <row r="813" spans="1:6" s="27" customFormat="1" x14ac:dyDescent="0.4">
      <c r="A813" s="51"/>
      <c r="B813" s="52"/>
      <c r="C813" s="110" t="s">
        <v>591</v>
      </c>
      <c r="D813" s="110"/>
      <c r="E813" s="52"/>
      <c r="F813" s="53"/>
    </row>
    <row r="814" spans="1:6" s="27" customFormat="1" x14ac:dyDescent="0.4">
      <c r="A814" s="51"/>
      <c r="B814" s="52"/>
      <c r="C814" s="110" t="s">
        <v>790</v>
      </c>
      <c r="D814" s="110"/>
      <c r="E814" s="52"/>
      <c r="F814" s="53"/>
    </row>
    <row r="815" spans="1:6" s="27" customFormat="1" ht="34.9" x14ac:dyDescent="0.4">
      <c r="A815" s="54" t="s">
        <v>269</v>
      </c>
      <c r="B815" s="55" t="s">
        <v>451</v>
      </c>
      <c r="C815" s="55" t="s">
        <v>581</v>
      </c>
      <c r="D815" s="56" t="s">
        <v>309</v>
      </c>
      <c r="E815" s="106">
        <v>0.2</v>
      </c>
      <c r="F815" s="107"/>
    </row>
    <row r="816" spans="1:6" s="27" customFormat="1" x14ac:dyDescent="0.4">
      <c r="A816" s="57"/>
      <c r="B816" s="58"/>
      <c r="C816" s="59" t="s">
        <v>11</v>
      </c>
      <c r="D816" s="58" t="s">
        <v>12</v>
      </c>
      <c r="E816" s="60">
        <v>6.59</v>
      </c>
      <c r="F816" s="60">
        <v>1.3180000000000001</v>
      </c>
    </row>
    <row r="817" spans="1:6" s="27" customFormat="1" x14ac:dyDescent="0.4">
      <c r="A817" s="61"/>
      <c r="B817" s="62"/>
      <c r="C817" s="63" t="s">
        <v>18</v>
      </c>
      <c r="D817" s="62" t="s">
        <v>13</v>
      </c>
      <c r="E817" s="64">
        <v>0.15</v>
      </c>
      <c r="F817" s="64">
        <v>0.03</v>
      </c>
    </row>
    <row r="818" spans="1:6" s="27" customFormat="1" x14ac:dyDescent="0.4">
      <c r="A818" s="65"/>
      <c r="B818" s="66"/>
      <c r="C818" s="67" t="s">
        <v>234</v>
      </c>
      <c r="D818" s="66" t="s">
        <v>13</v>
      </c>
      <c r="E818" s="68">
        <v>0.09</v>
      </c>
      <c r="F818" s="68">
        <v>1.7999999999999999E-2</v>
      </c>
    </row>
    <row r="819" spans="1:6" s="27" customFormat="1" x14ac:dyDescent="0.4">
      <c r="A819" s="65"/>
      <c r="B819" s="66"/>
      <c r="C819" s="67" t="s">
        <v>19</v>
      </c>
      <c r="D819" s="66" t="s">
        <v>13</v>
      </c>
      <c r="E819" s="68">
        <v>0.23</v>
      </c>
      <c r="F819" s="68">
        <v>4.5999999999999999E-2</v>
      </c>
    </row>
    <row r="820" spans="1:6" s="27" customFormat="1" x14ac:dyDescent="0.4">
      <c r="A820" s="65"/>
      <c r="B820" s="66"/>
      <c r="C820" s="67" t="s">
        <v>72</v>
      </c>
      <c r="D820" s="66" t="s">
        <v>13</v>
      </c>
      <c r="E820" s="68">
        <v>2.2400000000000002</v>
      </c>
      <c r="F820" s="68">
        <v>0.44800000000000001</v>
      </c>
    </row>
    <row r="821" spans="1:6" s="27" customFormat="1" x14ac:dyDescent="0.4">
      <c r="A821" s="69"/>
      <c r="B821" s="70"/>
      <c r="C821" s="71" t="s">
        <v>26</v>
      </c>
      <c r="D821" s="70" t="s">
        <v>14</v>
      </c>
      <c r="E821" s="72">
        <v>4.0000000000000001E-3</v>
      </c>
      <c r="F821" s="72">
        <v>8.0000000000000004E-4</v>
      </c>
    </row>
    <row r="822" spans="1:6" s="27" customFormat="1" x14ac:dyDescent="0.4">
      <c r="A822" s="76"/>
      <c r="B822" s="77"/>
      <c r="C822" s="78" t="s">
        <v>20</v>
      </c>
      <c r="D822" s="77" t="s">
        <v>14</v>
      </c>
      <c r="E822" s="79">
        <v>1.0000000000000001E-5</v>
      </c>
      <c r="F822" s="79">
        <v>1.9999999999999999E-6</v>
      </c>
    </row>
    <row r="823" spans="1:6" s="27" customFormat="1" x14ac:dyDescent="0.4">
      <c r="A823" s="76"/>
      <c r="B823" s="77"/>
      <c r="C823" s="78" t="s">
        <v>236</v>
      </c>
      <c r="D823" s="77" t="s">
        <v>14</v>
      </c>
      <c r="E823" s="79">
        <v>3.1E-4</v>
      </c>
      <c r="F823" s="79">
        <v>6.2000000000000003E-5</v>
      </c>
    </row>
    <row r="824" spans="1:6" s="27" customFormat="1" x14ac:dyDescent="0.4">
      <c r="A824" s="76"/>
      <c r="B824" s="77"/>
      <c r="C824" s="78" t="s">
        <v>237</v>
      </c>
      <c r="D824" s="77" t="s">
        <v>14</v>
      </c>
      <c r="E824" s="79">
        <v>5.9999999999999995E-4</v>
      </c>
      <c r="F824" s="79">
        <v>1.2E-4</v>
      </c>
    </row>
    <row r="825" spans="1:6" s="27" customFormat="1" x14ac:dyDescent="0.4">
      <c r="A825" s="76"/>
      <c r="B825" s="77"/>
      <c r="C825" s="78" t="s">
        <v>22</v>
      </c>
      <c r="D825" s="77" t="s">
        <v>14</v>
      </c>
      <c r="E825" s="79">
        <v>3.0000000000000001E-5</v>
      </c>
      <c r="F825" s="79">
        <v>6.0000000000000002E-6</v>
      </c>
    </row>
    <row r="826" spans="1:6" s="27" customFormat="1" x14ac:dyDescent="0.4">
      <c r="A826" s="76"/>
      <c r="B826" s="77"/>
      <c r="C826" s="78" t="s">
        <v>77</v>
      </c>
      <c r="D826" s="77" t="s">
        <v>23</v>
      </c>
      <c r="E826" s="79">
        <v>1.95</v>
      </c>
      <c r="F826" s="79">
        <v>0.39</v>
      </c>
    </row>
    <row r="827" spans="1:6" s="27" customFormat="1" x14ac:dyDescent="0.4">
      <c r="A827" s="76"/>
      <c r="B827" s="77"/>
      <c r="C827" s="78" t="s">
        <v>108</v>
      </c>
      <c r="D827" s="77" t="s">
        <v>14</v>
      </c>
      <c r="E827" s="79">
        <v>4.0000000000000002E-4</v>
      </c>
      <c r="F827" s="79">
        <v>8.0000000000000007E-5</v>
      </c>
    </row>
    <row r="828" spans="1:6" s="27" customFormat="1" ht="23.25" x14ac:dyDescent="0.4">
      <c r="A828" s="76"/>
      <c r="B828" s="77"/>
      <c r="C828" s="78" t="s">
        <v>315</v>
      </c>
      <c r="D828" s="77" t="s">
        <v>23</v>
      </c>
      <c r="E828" s="79">
        <v>1.0300000000000001E-3</v>
      </c>
      <c r="F828" s="79">
        <v>2.0599999999999999E-4</v>
      </c>
    </row>
    <row r="829" spans="1:6" s="27" customFormat="1" x14ac:dyDescent="0.4">
      <c r="A829" s="76"/>
      <c r="B829" s="77"/>
      <c r="C829" s="78" t="s">
        <v>110</v>
      </c>
      <c r="D829" s="77" t="s">
        <v>76</v>
      </c>
      <c r="E829" s="79">
        <v>0.59</v>
      </c>
      <c r="F829" s="79">
        <v>0.11799999999999999</v>
      </c>
    </row>
    <row r="830" spans="1:6" s="27" customFormat="1" ht="23.25" x14ac:dyDescent="0.4">
      <c r="A830" s="76"/>
      <c r="B830" s="77"/>
      <c r="C830" s="78" t="s">
        <v>239</v>
      </c>
      <c r="D830" s="77" t="s">
        <v>14</v>
      </c>
      <c r="E830" s="79">
        <v>5.0000000000000001E-3</v>
      </c>
      <c r="F830" s="79">
        <v>1E-3</v>
      </c>
    </row>
    <row r="831" spans="1:6" s="27" customFormat="1" ht="23.25" x14ac:dyDescent="0.4">
      <c r="A831" s="76"/>
      <c r="B831" s="77"/>
      <c r="C831" s="78" t="s">
        <v>240</v>
      </c>
      <c r="D831" s="77" t="s">
        <v>241</v>
      </c>
      <c r="E831" s="79">
        <v>1.8700000000000001E-2</v>
      </c>
      <c r="F831" s="79">
        <v>3.7399999999999998E-3</v>
      </c>
    </row>
    <row r="832" spans="1:6" s="27" customFormat="1" x14ac:dyDescent="0.4">
      <c r="A832" s="54" t="s">
        <v>270</v>
      </c>
      <c r="B832" s="55" t="s">
        <v>34</v>
      </c>
      <c r="C832" s="55" t="s">
        <v>568</v>
      </c>
      <c r="D832" s="56" t="s">
        <v>14</v>
      </c>
      <c r="E832" s="104">
        <v>0.184</v>
      </c>
      <c r="F832" s="105"/>
    </row>
    <row r="833" spans="1:6" s="27" customFormat="1" x14ac:dyDescent="0.4">
      <c r="A833" s="54" t="s">
        <v>271</v>
      </c>
      <c r="B833" s="55" t="s">
        <v>34</v>
      </c>
      <c r="C833" s="55" t="s">
        <v>592</v>
      </c>
      <c r="D833" s="56" t="s">
        <v>14</v>
      </c>
      <c r="E833" s="104">
        <v>1.6E-2</v>
      </c>
      <c r="F833" s="105"/>
    </row>
    <row r="834" spans="1:6" s="27" customFormat="1" x14ac:dyDescent="0.4">
      <c r="A834" s="51"/>
      <c r="B834" s="52"/>
      <c r="C834" s="110" t="s">
        <v>790</v>
      </c>
      <c r="D834" s="110"/>
      <c r="E834" s="52"/>
      <c r="F834" s="53"/>
    </row>
    <row r="835" spans="1:6" s="27" customFormat="1" ht="34.9" x14ac:dyDescent="0.4">
      <c r="A835" s="54" t="s">
        <v>272</v>
      </c>
      <c r="B835" s="55" t="s">
        <v>451</v>
      </c>
      <c r="C835" s="55" t="s">
        <v>581</v>
      </c>
      <c r="D835" s="56" t="s">
        <v>309</v>
      </c>
      <c r="E835" s="106">
        <v>0.113</v>
      </c>
      <c r="F835" s="107"/>
    </row>
    <row r="836" spans="1:6" s="27" customFormat="1" x14ac:dyDescent="0.4">
      <c r="A836" s="57"/>
      <c r="B836" s="58"/>
      <c r="C836" s="59" t="s">
        <v>11</v>
      </c>
      <c r="D836" s="58" t="s">
        <v>12</v>
      </c>
      <c r="E836" s="60">
        <v>6.59</v>
      </c>
      <c r="F836" s="60">
        <v>0.74467000000000005</v>
      </c>
    </row>
    <row r="837" spans="1:6" s="27" customFormat="1" x14ac:dyDescent="0.4">
      <c r="A837" s="61"/>
      <c r="B837" s="62"/>
      <c r="C837" s="63" t="s">
        <v>18</v>
      </c>
      <c r="D837" s="62" t="s">
        <v>13</v>
      </c>
      <c r="E837" s="64">
        <v>0.15</v>
      </c>
      <c r="F837" s="64">
        <v>1.695E-2</v>
      </c>
    </row>
    <row r="838" spans="1:6" s="27" customFormat="1" x14ac:dyDescent="0.4">
      <c r="A838" s="65"/>
      <c r="B838" s="66"/>
      <c r="C838" s="67" t="s">
        <v>234</v>
      </c>
      <c r="D838" s="66" t="s">
        <v>13</v>
      </c>
      <c r="E838" s="68">
        <v>0.09</v>
      </c>
      <c r="F838" s="68">
        <v>1.017E-2</v>
      </c>
    </row>
    <row r="839" spans="1:6" s="27" customFormat="1" x14ac:dyDescent="0.4">
      <c r="A839" s="65"/>
      <c r="B839" s="66"/>
      <c r="C839" s="67" t="s">
        <v>19</v>
      </c>
      <c r="D839" s="66" t="s">
        <v>13</v>
      </c>
      <c r="E839" s="68">
        <v>0.23</v>
      </c>
      <c r="F839" s="68">
        <v>2.5989999999999999E-2</v>
      </c>
    </row>
    <row r="840" spans="1:6" s="27" customFormat="1" x14ac:dyDescent="0.4">
      <c r="A840" s="65"/>
      <c r="B840" s="66"/>
      <c r="C840" s="67" t="s">
        <v>72</v>
      </c>
      <c r="D840" s="66" t="s">
        <v>13</v>
      </c>
      <c r="E840" s="68">
        <v>2.2400000000000002</v>
      </c>
      <c r="F840" s="68">
        <v>0.25312000000000001</v>
      </c>
    </row>
    <row r="841" spans="1:6" s="27" customFormat="1" x14ac:dyDescent="0.4">
      <c r="A841" s="69"/>
      <c r="B841" s="70"/>
      <c r="C841" s="71" t="s">
        <v>26</v>
      </c>
      <c r="D841" s="70" t="s">
        <v>14</v>
      </c>
      <c r="E841" s="72">
        <v>4.0000000000000001E-3</v>
      </c>
      <c r="F841" s="72">
        <v>4.5199999999999998E-4</v>
      </c>
    </row>
    <row r="842" spans="1:6" s="27" customFormat="1" x14ac:dyDescent="0.4">
      <c r="A842" s="76"/>
      <c r="B842" s="77"/>
      <c r="C842" s="78" t="s">
        <v>20</v>
      </c>
      <c r="D842" s="77" t="s">
        <v>14</v>
      </c>
      <c r="E842" s="79">
        <v>1.0000000000000001E-5</v>
      </c>
      <c r="F842" s="79">
        <v>9.9999999999999995E-7</v>
      </c>
    </row>
    <row r="843" spans="1:6" s="27" customFormat="1" x14ac:dyDescent="0.4">
      <c r="A843" s="76"/>
      <c r="B843" s="77"/>
      <c r="C843" s="78" t="s">
        <v>236</v>
      </c>
      <c r="D843" s="77" t="s">
        <v>14</v>
      </c>
      <c r="E843" s="79">
        <v>3.1E-4</v>
      </c>
      <c r="F843" s="79">
        <v>3.4999999999999997E-5</v>
      </c>
    </row>
    <row r="844" spans="1:6" s="27" customFormat="1" x14ac:dyDescent="0.4">
      <c r="A844" s="76"/>
      <c r="B844" s="77"/>
      <c r="C844" s="78" t="s">
        <v>237</v>
      </c>
      <c r="D844" s="77" t="s">
        <v>14</v>
      </c>
      <c r="E844" s="79">
        <v>5.9999999999999995E-4</v>
      </c>
      <c r="F844" s="79">
        <v>6.7999999999999999E-5</v>
      </c>
    </row>
    <row r="845" spans="1:6" s="27" customFormat="1" x14ac:dyDescent="0.4">
      <c r="A845" s="76"/>
      <c r="B845" s="77"/>
      <c r="C845" s="78" t="s">
        <v>22</v>
      </c>
      <c r="D845" s="77" t="s">
        <v>14</v>
      </c>
      <c r="E845" s="79">
        <v>3.0000000000000001E-5</v>
      </c>
      <c r="F845" s="79">
        <v>3.0000000000000001E-6</v>
      </c>
    </row>
    <row r="846" spans="1:6" s="27" customFormat="1" x14ac:dyDescent="0.4">
      <c r="A846" s="76"/>
      <c r="B846" s="77"/>
      <c r="C846" s="78" t="s">
        <v>77</v>
      </c>
      <c r="D846" s="77" t="s">
        <v>23</v>
      </c>
      <c r="E846" s="79">
        <v>1.95</v>
      </c>
      <c r="F846" s="79">
        <v>0.22034999999999999</v>
      </c>
    </row>
    <row r="847" spans="1:6" s="27" customFormat="1" x14ac:dyDescent="0.4">
      <c r="A847" s="76"/>
      <c r="B847" s="77"/>
      <c r="C847" s="78" t="s">
        <v>108</v>
      </c>
      <c r="D847" s="77" t="s">
        <v>14</v>
      </c>
      <c r="E847" s="79">
        <v>4.0000000000000002E-4</v>
      </c>
      <c r="F847" s="79">
        <v>4.5000000000000003E-5</v>
      </c>
    </row>
    <row r="848" spans="1:6" s="27" customFormat="1" ht="23.25" x14ac:dyDescent="0.4">
      <c r="A848" s="76"/>
      <c r="B848" s="77"/>
      <c r="C848" s="78" t="s">
        <v>315</v>
      </c>
      <c r="D848" s="77" t="s">
        <v>23</v>
      </c>
      <c r="E848" s="79">
        <v>1.0300000000000001E-3</v>
      </c>
      <c r="F848" s="79">
        <v>1.16E-4</v>
      </c>
    </row>
    <row r="849" spans="1:6" s="27" customFormat="1" x14ac:dyDescent="0.4">
      <c r="A849" s="76"/>
      <c r="B849" s="77"/>
      <c r="C849" s="78" t="s">
        <v>110</v>
      </c>
      <c r="D849" s="77" t="s">
        <v>76</v>
      </c>
      <c r="E849" s="79">
        <v>0.59</v>
      </c>
      <c r="F849" s="79">
        <v>6.6669999999999993E-2</v>
      </c>
    </row>
    <row r="850" spans="1:6" s="27" customFormat="1" ht="23.25" x14ac:dyDescent="0.4">
      <c r="A850" s="76"/>
      <c r="B850" s="77"/>
      <c r="C850" s="78" t="s">
        <v>239</v>
      </c>
      <c r="D850" s="77" t="s">
        <v>14</v>
      </c>
      <c r="E850" s="79">
        <v>5.0000000000000001E-3</v>
      </c>
      <c r="F850" s="79">
        <v>5.6499999999999996E-4</v>
      </c>
    </row>
    <row r="851" spans="1:6" s="27" customFormat="1" ht="23.25" x14ac:dyDescent="0.4">
      <c r="A851" s="76"/>
      <c r="B851" s="77"/>
      <c r="C851" s="78" t="s">
        <v>240</v>
      </c>
      <c r="D851" s="77" t="s">
        <v>241</v>
      </c>
      <c r="E851" s="79">
        <v>1.8700000000000001E-2</v>
      </c>
      <c r="F851" s="79">
        <v>2.1129999999999999E-3</v>
      </c>
    </row>
    <row r="852" spans="1:6" s="27" customFormat="1" x14ac:dyDescent="0.4">
      <c r="A852" s="54" t="s">
        <v>273</v>
      </c>
      <c r="B852" s="55" t="s">
        <v>34</v>
      </c>
      <c r="C852" s="55" t="s">
        <v>568</v>
      </c>
      <c r="D852" s="56" t="s">
        <v>14</v>
      </c>
      <c r="E852" s="104">
        <v>0.113</v>
      </c>
      <c r="F852" s="105"/>
    </row>
    <row r="853" spans="1:6" s="27" customFormat="1" x14ac:dyDescent="0.4">
      <c r="A853" s="54" t="s">
        <v>274</v>
      </c>
      <c r="B853" s="55" t="s">
        <v>34</v>
      </c>
      <c r="C853" s="55" t="s">
        <v>583</v>
      </c>
      <c r="D853" s="56" t="s">
        <v>30</v>
      </c>
      <c r="E853" s="108">
        <v>48</v>
      </c>
      <c r="F853" s="109"/>
    </row>
    <row r="854" spans="1:6" s="27" customFormat="1" x14ac:dyDescent="0.4">
      <c r="A854" s="51"/>
      <c r="B854" s="52"/>
      <c r="C854" s="110" t="s">
        <v>858</v>
      </c>
      <c r="D854" s="110"/>
      <c r="E854" s="52"/>
      <c r="F854" s="53"/>
    </row>
    <row r="855" spans="1:6" s="27" customFormat="1" x14ac:dyDescent="0.4">
      <c r="A855" s="54" t="s">
        <v>275</v>
      </c>
      <c r="B855" s="55" t="s">
        <v>565</v>
      </c>
      <c r="C855" s="55" t="s">
        <v>566</v>
      </c>
      <c r="D855" s="56" t="s">
        <v>14</v>
      </c>
      <c r="E855" s="106">
        <v>0.13800000000000001</v>
      </c>
      <c r="F855" s="107"/>
    </row>
    <row r="856" spans="1:6" s="27" customFormat="1" x14ac:dyDescent="0.4">
      <c r="A856" s="57"/>
      <c r="B856" s="58"/>
      <c r="C856" s="59" t="s">
        <v>11</v>
      </c>
      <c r="D856" s="58" t="s">
        <v>12</v>
      </c>
      <c r="E856" s="74">
        <v>44</v>
      </c>
      <c r="F856" s="60">
        <v>6.0720000000000001</v>
      </c>
    </row>
    <row r="857" spans="1:6" s="27" customFormat="1" x14ac:dyDescent="0.4">
      <c r="A857" s="61"/>
      <c r="B857" s="62"/>
      <c r="C857" s="63" t="s">
        <v>107</v>
      </c>
      <c r="D857" s="62" t="s">
        <v>13</v>
      </c>
      <c r="E857" s="64">
        <v>0.43</v>
      </c>
      <c r="F857" s="64">
        <v>5.9339999999999997E-2</v>
      </c>
    </row>
    <row r="858" spans="1:6" s="27" customFormat="1" x14ac:dyDescent="0.4">
      <c r="A858" s="65"/>
      <c r="B858" s="66"/>
      <c r="C858" s="67" t="s">
        <v>19</v>
      </c>
      <c r="D858" s="66" t="s">
        <v>13</v>
      </c>
      <c r="E858" s="68">
        <v>0.1</v>
      </c>
      <c r="F858" s="68">
        <v>1.38E-2</v>
      </c>
    </row>
    <row r="859" spans="1:6" s="27" customFormat="1" x14ac:dyDescent="0.4">
      <c r="A859" s="69"/>
      <c r="B859" s="70"/>
      <c r="C859" s="71" t="s">
        <v>567</v>
      </c>
      <c r="D859" s="70" t="s">
        <v>14</v>
      </c>
      <c r="E859" s="72">
        <v>5.1000000000000004E-3</v>
      </c>
      <c r="F859" s="72">
        <v>7.0399999999999998E-4</v>
      </c>
    </row>
    <row r="860" spans="1:6" s="27" customFormat="1" x14ac:dyDescent="0.4">
      <c r="A860" s="54" t="s">
        <v>276</v>
      </c>
      <c r="B860" s="55" t="s">
        <v>34</v>
      </c>
      <c r="C860" s="55" t="s">
        <v>568</v>
      </c>
      <c r="D860" s="56" t="s">
        <v>14</v>
      </c>
      <c r="E860" s="104">
        <v>0.13800000000000001</v>
      </c>
      <c r="F860" s="105"/>
    </row>
    <row r="861" spans="1:6" s="27" customFormat="1" ht="34.9" x14ac:dyDescent="0.4">
      <c r="A861" s="54" t="s">
        <v>277</v>
      </c>
      <c r="B861" s="55" t="s">
        <v>584</v>
      </c>
      <c r="C861" s="55" t="s">
        <v>859</v>
      </c>
      <c r="D861" s="56" t="s">
        <v>579</v>
      </c>
      <c r="E861" s="106">
        <v>14.34</v>
      </c>
      <c r="F861" s="107"/>
    </row>
    <row r="862" spans="1:6" s="27" customFormat="1" x14ac:dyDescent="0.4">
      <c r="A862" s="57"/>
      <c r="B862" s="58"/>
      <c r="C862" s="59" t="s">
        <v>11</v>
      </c>
      <c r="D862" s="58" t="s">
        <v>12</v>
      </c>
      <c r="E862" s="60">
        <v>5.4</v>
      </c>
      <c r="F862" s="60">
        <v>77.436000000000007</v>
      </c>
    </row>
    <row r="863" spans="1:6" s="27" customFormat="1" x14ac:dyDescent="0.4">
      <c r="A863" s="61"/>
      <c r="B863" s="62"/>
      <c r="C863" s="63" t="s">
        <v>556</v>
      </c>
      <c r="D863" s="62" t="s">
        <v>13</v>
      </c>
      <c r="E863" s="64">
        <v>0.4</v>
      </c>
      <c r="F863" s="64">
        <v>5.7359999999999998</v>
      </c>
    </row>
    <row r="864" spans="1:6" s="27" customFormat="1" x14ac:dyDescent="0.4">
      <c r="A864" s="69"/>
      <c r="B864" s="70"/>
      <c r="C864" s="71" t="s">
        <v>74</v>
      </c>
      <c r="D864" s="70" t="s">
        <v>23</v>
      </c>
      <c r="E864" s="72">
        <v>0.44</v>
      </c>
      <c r="F864" s="72">
        <v>6.3095999999999997</v>
      </c>
    </row>
    <row r="865" spans="1:6" s="27" customFormat="1" x14ac:dyDescent="0.4">
      <c r="A865" s="76"/>
      <c r="B865" s="77"/>
      <c r="C865" s="78" t="s">
        <v>586</v>
      </c>
      <c r="D865" s="77" t="s">
        <v>587</v>
      </c>
      <c r="E865" s="79">
        <v>0.30337999999999998</v>
      </c>
      <c r="F865" s="79">
        <v>4.3505000000000003</v>
      </c>
    </row>
    <row r="866" spans="1:6" s="27" customFormat="1" x14ac:dyDescent="0.4">
      <c r="A866" s="76"/>
      <c r="B866" s="77"/>
      <c r="C866" s="78" t="s">
        <v>235</v>
      </c>
      <c r="D866" s="77" t="s">
        <v>23</v>
      </c>
      <c r="E866" s="79">
        <v>0.216</v>
      </c>
      <c r="F866" s="79">
        <v>3.0973999999999999</v>
      </c>
    </row>
    <row r="867" spans="1:6" s="27" customFormat="1" x14ac:dyDescent="0.4">
      <c r="A867" s="76"/>
      <c r="B867" s="77"/>
      <c r="C867" s="78" t="s">
        <v>588</v>
      </c>
      <c r="D867" s="77" t="s">
        <v>23</v>
      </c>
      <c r="E867" s="79">
        <v>5.0000000000000001E-4</v>
      </c>
      <c r="F867" s="79">
        <v>7.1700000000000002E-3</v>
      </c>
    </row>
    <row r="868" spans="1:6" s="27" customFormat="1" ht="23.25" x14ac:dyDescent="0.4">
      <c r="A868" s="54" t="s">
        <v>278</v>
      </c>
      <c r="B868" s="55" t="s">
        <v>593</v>
      </c>
      <c r="C868" s="55" t="s">
        <v>594</v>
      </c>
      <c r="D868" s="56" t="s">
        <v>508</v>
      </c>
      <c r="E868" s="106">
        <v>0.36</v>
      </c>
      <c r="F868" s="107"/>
    </row>
    <row r="869" spans="1:6" s="27" customFormat="1" x14ac:dyDescent="0.4">
      <c r="A869" s="57"/>
      <c r="B869" s="58"/>
      <c r="C869" s="59" t="s">
        <v>11</v>
      </c>
      <c r="D869" s="58" t="s">
        <v>12</v>
      </c>
      <c r="E869" s="60">
        <v>112.75</v>
      </c>
      <c r="F869" s="60">
        <v>40.590000000000003</v>
      </c>
    </row>
    <row r="870" spans="1:6" s="27" customFormat="1" x14ac:dyDescent="0.4">
      <c r="A870" s="61"/>
      <c r="B870" s="62"/>
      <c r="C870" s="63" t="s">
        <v>19</v>
      </c>
      <c r="D870" s="62" t="s">
        <v>13</v>
      </c>
      <c r="E870" s="64">
        <v>7.0000000000000007E-2</v>
      </c>
      <c r="F870" s="64">
        <v>2.52E-2</v>
      </c>
    </row>
    <row r="871" spans="1:6" s="27" customFormat="1" x14ac:dyDescent="0.4">
      <c r="A871" s="69"/>
      <c r="B871" s="70"/>
      <c r="C871" s="71" t="s">
        <v>595</v>
      </c>
      <c r="D871" s="70" t="s">
        <v>14</v>
      </c>
      <c r="E871" s="72">
        <v>4.0000000000000001E-3</v>
      </c>
      <c r="F871" s="72">
        <v>1.4400000000000001E-3</v>
      </c>
    </row>
    <row r="872" spans="1:6" s="27" customFormat="1" x14ac:dyDescent="0.4">
      <c r="A872" s="76"/>
      <c r="B872" s="77"/>
      <c r="C872" s="78" t="s">
        <v>596</v>
      </c>
      <c r="D872" s="77" t="s">
        <v>14</v>
      </c>
      <c r="E872" s="79">
        <v>1.2E-2</v>
      </c>
      <c r="F872" s="79">
        <v>4.3200000000000001E-3</v>
      </c>
    </row>
    <row r="873" spans="1:6" s="27" customFormat="1" x14ac:dyDescent="0.4">
      <c r="A873" s="76"/>
      <c r="B873" s="77"/>
      <c r="C873" s="78" t="s">
        <v>597</v>
      </c>
      <c r="D873" s="77" t="s">
        <v>21</v>
      </c>
      <c r="E873" s="80">
        <v>102</v>
      </c>
      <c r="F873" s="79">
        <v>36.72</v>
      </c>
    </row>
    <row r="874" spans="1:6" s="27" customFormat="1" x14ac:dyDescent="0.4">
      <c r="A874" s="51"/>
      <c r="B874" s="52"/>
      <c r="C874" s="110" t="s">
        <v>799</v>
      </c>
      <c r="D874" s="110"/>
      <c r="E874" s="52"/>
      <c r="F874" s="53"/>
    </row>
    <row r="875" spans="1:6" s="27" customFormat="1" x14ac:dyDescent="0.4">
      <c r="A875" s="54" t="s">
        <v>279</v>
      </c>
      <c r="B875" s="55" t="s">
        <v>565</v>
      </c>
      <c r="C875" s="55" t="s">
        <v>860</v>
      </c>
      <c r="D875" s="56" t="s">
        <v>14</v>
      </c>
      <c r="E875" s="106">
        <v>2.1349999999999998</v>
      </c>
      <c r="F875" s="107"/>
    </row>
    <row r="876" spans="1:6" s="27" customFormat="1" x14ac:dyDescent="0.4">
      <c r="A876" s="57"/>
      <c r="B876" s="58"/>
      <c r="C876" s="59" t="s">
        <v>11</v>
      </c>
      <c r="D876" s="58" t="s">
        <v>12</v>
      </c>
      <c r="E876" s="74">
        <v>44</v>
      </c>
      <c r="F876" s="60">
        <v>93.94</v>
      </c>
    </row>
    <row r="877" spans="1:6" s="27" customFormat="1" x14ac:dyDescent="0.4">
      <c r="A877" s="61"/>
      <c r="B877" s="62"/>
      <c r="C877" s="63" t="s">
        <v>107</v>
      </c>
      <c r="D877" s="62" t="s">
        <v>13</v>
      </c>
      <c r="E877" s="64">
        <v>0.43</v>
      </c>
      <c r="F877" s="64">
        <v>0.91805000000000003</v>
      </c>
    </row>
    <row r="878" spans="1:6" s="27" customFormat="1" x14ac:dyDescent="0.4">
      <c r="A878" s="65"/>
      <c r="B878" s="66"/>
      <c r="C878" s="67" t="s">
        <v>19</v>
      </c>
      <c r="D878" s="66" t="s">
        <v>13</v>
      </c>
      <c r="E878" s="68">
        <v>0.1</v>
      </c>
      <c r="F878" s="68">
        <v>0.2135</v>
      </c>
    </row>
    <row r="879" spans="1:6" s="27" customFormat="1" x14ac:dyDescent="0.4">
      <c r="A879" s="69"/>
      <c r="B879" s="70"/>
      <c r="C879" s="71" t="s">
        <v>567</v>
      </c>
      <c r="D879" s="70" t="s">
        <v>14</v>
      </c>
      <c r="E879" s="72">
        <v>5.1000000000000004E-3</v>
      </c>
      <c r="F879" s="72">
        <v>1.0888999999999999E-2</v>
      </c>
    </row>
    <row r="880" spans="1:6" s="27" customFormat="1" x14ac:dyDescent="0.4">
      <c r="A880" s="54" t="s">
        <v>280</v>
      </c>
      <c r="B880" s="55" t="s">
        <v>34</v>
      </c>
      <c r="C880" s="55" t="s">
        <v>568</v>
      </c>
      <c r="D880" s="56" t="s">
        <v>14</v>
      </c>
      <c r="E880" s="104">
        <v>0.625</v>
      </c>
      <c r="F880" s="105"/>
    </row>
    <row r="881" spans="1:6" s="27" customFormat="1" x14ac:dyDescent="0.4">
      <c r="A881" s="54" t="s">
        <v>281</v>
      </c>
      <c r="B881" s="55" t="s">
        <v>34</v>
      </c>
      <c r="C881" s="55" t="s">
        <v>861</v>
      </c>
      <c r="D881" s="56" t="s">
        <v>14</v>
      </c>
      <c r="E881" s="104">
        <v>1.51</v>
      </c>
      <c r="F881" s="105"/>
    </row>
    <row r="882" spans="1:6" s="27" customFormat="1" ht="23.25" x14ac:dyDescent="0.4">
      <c r="A882" s="54" t="s">
        <v>282</v>
      </c>
      <c r="B882" s="55" t="s">
        <v>848</v>
      </c>
      <c r="C882" s="55" t="s">
        <v>849</v>
      </c>
      <c r="D882" s="56" t="s">
        <v>850</v>
      </c>
      <c r="E882" s="106">
        <v>52.08</v>
      </c>
      <c r="F882" s="107"/>
    </row>
    <row r="883" spans="1:6" s="27" customFormat="1" x14ac:dyDescent="0.4">
      <c r="A883" s="57"/>
      <c r="B883" s="58"/>
      <c r="C883" s="59" t="s">
        <v>11</v>
      </c>
      <c r="D883" s="58" t="s">
        <v>12</v>
      </c>
      <c r="E883" s="60">
        <v>14.1</v>
      </c>
      <c r="F883" s="60">
        <v>734.32799999999997</v>
      </c>
    </row>
    <row r="884" spans="1:6" s="27" customFormat="1" x14ac:dyDescent="0.4">
      <c r="A884" s="61"/>
      <c r="B884" s="62"/>
      <c r="C884" s="63" t="s">
        <v>25</v>
      </c>
      <c r="D884" s="62" t="s">
        <v>13</v>
      </c>
      <c r="E884" s="64">
        <v>2.2000000000000002</v>
      </c>
      <c r="F884" s="64">
        <v>114.57599999999999</v>
      </c>
    </row>
    <row r="885" spans="1:6" s="27" customFormat="1" x14ac:dyDescent="0.4">
      <c r="A885" s="54" t="s">
        <v>283</v>
      </c>
      <c r="B885" s="55" t="s">
        <v>34</v>
      </c>
      <c r="C885" s="55" t="s">
        <v>851</v>
      </c>
      <c r="D885" s="56" t="s">
        <v>30</v>
      </c>
      <c r="E885" s="108">
        <v>5208</v>
      </c>
      <c r="F885" s="109"/>
    </row>
    <row r="886" spans="1:6" s="27" customFormat="1" x14ac:dyDescent="0.4">
      <c r="A886" s="54" t="s">
        <v>284</v>
      </c>
      <c r="B886" s="55" t="s">
        <v>569</v>
      </c>
      <c r="C886" s="55" t="s">
        <v>570</v>
      </c>
      <c r="D886" s="56" t="s">
        <v>14</v>
      </c>
      <c r="E886" s="106">
        <v>8.2759999999999998</v>
      </c>
      <c r="F886" s="107"/>
    </row>
    <row r="887" spans="1:6" s="27" customFormat="1" x14ac:dyDescent="0.4">
      <c r="A887" s="57"/>
      <c r="B887" s="58"/>
      <c r="C887" s="59" t="s">
        <v>11</v>
      </c>
      <c r="D887" s="58" t="s">
        <v>12</v>
      </c>
      <c r="E887" s="60">
        <v>63.73</v>
      </c>
      <c r="F887" s="60">
        <v>527.42949999999996</v>
      </c>
    </row>
    <row r="888" spans="1:6" s="27" customFormat="1" x14ac:dyDescent="0.4">
      <c r="A888" s="61"/>
      <c r="B888" s="62"/>
      <c r="C888" s="63" t="s">
        <v>18</v>
      </c>
      <c r="D888" s="62" t="s">
        <v>13</v>
      </c>
      <c r="E888" s="64">
        <v>0.23</v>
      </c>
      <c r="F888" s="64">
        <v>1.9035</v>
      </c>
    </row>
    <row r="889" spans="1:6" s="27" customFormat="1" x14ac:dyDescent="0.4">
      <c r="A889" s="65"/>
      <c r="B889" s="66"/>
      <c r="C889" s="67" t="s">
        <v>19</v>
      </c>
      <c r="D889" s="66" t="s">
        <v>13</v>
      </c>
      <c r="E889" s="68">
        <v>0.31</v>
      </c>
      <c r="F889" s="68">
        <v>2.5655999999999999</v>
      </c>
    </row>
    <row r="890" spans="1:6" s="27" customFormat="1" x14ac:dyDescent="0.4">
      <c r="A890" s="69"/>
      <c r="B890" s="70"/>
      <c r="C890" s="71" t="s">
        <v>571</v>
      </c>
      <c r="D890" s="70" t="s">
        <v>14</v>
      </c>
      <c r="E890" s="73">
        <v>1</v>
      </c>
      <c r="F890" s="72">
        <v>8.2759999999999998</v>
      </c>
    </row>
    <row r="891" spans="1:6" s="27" customFormat="1" ht="23.25" x14ac:dyDescent="0.4">
      <c r="A891" s="54" t="s">
        <v>285</v>
      </c>
      <c r="B891" s="55" t="s">
        <v>34</v>
      </c>
      <c r="C891" s="55" t="s">
        <v>520</v>
      </c>
      <c r="D891" s="56" t="s">
        <v>14</v>
      </c>
      <c r="E891" s="104">
        <v>0.121</v>
      </c>
      <c r="F891" s="105"/>
    </row>
    <row r="892" spans="1:6" s="27" customFormat="1" ht="23.25" x14ac:dyDescent="0.4">
      <c r="A892" s="54" t="s">
        <v>286</v>
      </c>
      <c r="B892" s="55" t="s">
        <v>34</v>
      </c>
      <c r="C892" s="55" t="s">
        <v>564</v>
      </c>
      <c r="D892" s="56" t="s">
        <v>14</v>
      </c>
      <c r="E892" s="104">
        <v>0.495</v>
      </c>
      <c r="F892" s="105"/>
    </row>
    <row r="893" spans="1:6" s="27" customFormat="1" x14ac:dyDescent="0.4">
      <c r="A893" s="51"/>
      <c r="B893" s="52"/>
      <c r="C893" s="110" t="s">
        <v>598</v>
      </c>
      <c r="D893" s="110"/>
      <c r="E893" s="52"/>
      <c r="F893" s="53"/>
    </row>
    <row r="894" spans="1:6" s="27" customFormat="1" ht="46.5" x14ac:dyDescent="0.4">
      <c r="A894" s="54" t="s">
        <v>287</v>
      </c>
      <c r="B894" s="55" t="s">
        <v>599</v>
      </c>
      <c r="C894" s="55" t="s">
        <v>600</v>
      </c>
      <c r="D894" s="56" t="s">
        <v>538</v>
      </c>
      <c r="E894" s="106">
        <v>0.36880000000000002</v>
      </c>
      <c r="F894" s="107"/>
    </row>
    <row r="895" spans="1:6" s="27" customFormat="1" x14ac:dyDescent="0.4">
      <c r="A895" s="57"/>
      <c r="B895" s="58"/>
      <c r="C895" s="59" t="s">
        <v>11</v>
      </c>
      <c r="D895" s="58" t="s">
        <v>12</v>
      </c>
      <c r="E895" s="60">
        <v>2412.6</v>
      </c>
      <c r="F895" s="60">
        <v>889.76689999999996</v>
      </c>
    </row>
    <row r="896" spans="1:6" s="27" customFormat="1" x14ac:dyDescent="0.4">
      <c r="A896" s="61"/>
      <c r="B896" s="62"/>
      <c r="C896" s="63" t="s">
        <v>539</v>
      </c>
      <c r="D896" s="62" t="s">
        <v>13</v>
      </c>
      <c r="E896" s="64">
        <v>2.54</v>
      </c>
      <c r="F896" s="64">
        <v>0.93675200000000003</v>
      </c>
    </row>
    <row r="897" spans="1:6" s="27" customFormat="1" x14ac:dyDescent="0.4">
      <c r="A897" s="65"/>
      <c r="B897" s="66"/>
      <c r="C897" s="67" t="s">
        <v>601</v>
      </c>
      <c r="D897" s="66" t="s">
        <v>13</v>
      </c>
      <c r="E897" s="81">
        <v>78</v>
      </c>
      <c r="F897" s="68">
        <v>28.766400000000001</v>
      </c>
    </row>
    <row r="898" spans="1:6" s="27" customFormat="1" x14ac:dyDescent="0.4">
      <c r="A898" s="65"/>
      <c r="B898" s="66"/>
      <c r="C898" s="67" t="s">
        <v>556</v>
      </c>
      <c r="D898" s="66" t="s">
        <v>13</v>
      </c>
      <c r="E898" s="68">
        <v>51.7</v>
      </c>
      <c r="F898" s="68">
        <v>19.067</v>
      </c>
    </row>
    <row r="899" spans="1:6" s="27" customFormat="1" x14ac:dyDescent="0.4">
      <c r="A899" s="65"/>
      <c r="B899" s="66"/>
      <c r="C899" s="67" t="s">
        <v>18</v>
      </c>
      <c r="D899" s="66" t="s">
        <v>13</v>
      </c>
      <c r="E899" s="68">
        <v>2.35</v>
      </c>
      <c r="F899" s="68">
        <v>0.86668000000000001</v>
      </c>
    </row>
    <row r="900" spans="1:6" s="27" customFormat="1" x14ac:dyDescent="0.4">
      <c r="A900" s="65"/>
      <c r="B900" s="66"/>
      <c r="C900" s="67" t="s">
        <v>540</v>
      </c>
      <c r="D900" s="66" t="s">
        <v>13</v>
      </c>
      <c r="E900" s="68">
        <v>1.21</v>
      </c>
      <c r="F900" s="68">
        <v>0.44624799999999998</v>
      </c>
    </row>
    <row r="901" spans="1:6" s="27" customFormat="1" x14ac:dyDescent="0.4">
      <c r="A901" s="65"/>
      <c r="B901" s="66"/>
      <c r="C901" s="67" t="s">
        <v>107</v>
      </c>
      <c r="D901" s="66" t="s">
        <v>13</v>
      </c>
      <c r="E901" s="68">
        <v>13.2</v>
      </c>
      <c r="F901" s="68">
        <v>4.8681999999999999</v>
      </c>
    </row>
    <row r="902" spans="1:6" s="27" customFormat="1" x14ac:dyDescent="0.4">
      <c r="A902" s="65"/>
      <c r="B902" s="66"/>
      <c r="C902" s="67" t="s">
        <v>71</v>
      </c>
      <c r="D902" s="66" t="s">
        <v>13</v>
      </c>
      <c r="E902" s="68">
        <v>3.53</v>
      </c>
      <c r="F902" s="68">
        <v>1.3019000000000001</v>
      </c>
    </row>
    <row r="903" spans="1:6" s="27" customFormat="1" x14ac:dyDescent="0.4">
      <c r="A903" s="69"/>
      <c r="B903" s="70"/>
      <c r="C903" s="71" t="s">
        <v>503</v>
      </c>
      <c r="D903" s="70" t="s">
        <v>23</v>
      </c>
      <c r="E903" s="72">
        <v>101.5</v>
      </c>
      <c r="F903" s="72">
        <v>37.433199999999999</v>
      </c>
    </row>
    <row r="904" spans="1:6" s="27" customFormat="1" x14ac:dyDescent="0.4">
      <c r="A904" s="76"/>
      <c r="B904" s="77"/>
      <c r="C904" s="78" t="s">
        <v>20</v>
      </c>
      <c r="D904" s="77" t="s">
        <v>14</v>
      </c>
      <c r="E904" s="79">
        <v>1.4999999999999999E-2</v>
      </c>
      <c r="F904" s="79">
        <v>5.5319999999999996E-3</v>
      </c>
    </row>
    <row r="905" spans="1:6" s="27" customFormat="1" x14ac:dyDescent="0.4">
      <c r="A905" s="76"/>
      <c r="B905" s="77"/>
      <c r="C905" s="78" t="s">
        <v>602</v>
      </c>
      <c r="D905" s="77" t="s">
        <v>14</v>
      </c>
      <c r="E905" s="79">
        <v>0.17299999999999999</v>
      </c>
      <c r="F905" s="79">
        <v>6.3801999999999998E-2</v>
      </c>
    </row>
    <row r="906" spans="1:6" s="27" customFormat="1" x14ac:dyDescent="0.4">
      <c r="A906" s="76"/>
      <c r="B906" s="77"/>
      <c r="C906" s="78" t="s">
        <v>541</v>
      </c>
      <c r="D906" s="77" t="s">
        <v>14</v>
      </c>
      <c r="E906" s="79">
        <v>2.3599999999999999E-2</v>
      </c>
      <c r="F906" s="79">
        <v>8.7039999999999999E-3</v>
      </c>
    </row>
    <row r="907" spans="1:6" s="27" customFormat="1" x14ac:dyDescent="0.4">
      <c r="A907" s="76"/>
      <c r="B907" s="77"/>
      <c r="C907" s="78" t="s">
        <v>108</v>
      </c>
      <c r="D907" s="77" t="s">
        <v>14</v>
      </c>
      <c r="E907" s="79">
        <v>1.2999999999999999E-2</v>
      </c>
      <c r="F907" s="79">
        <v>4.7939999999999997E-3</v>
      </c>
    </row>
    <row r="908" spans="1:6" s="27" customFormat="1" x14ac:dyDescent="0.4">
      <c r="A908" s="76"/>
      <c r="B908" s="77"/>
      <c r="C908" s="78" t="s">
        <v>603</v>
      </c>
      <c r="D908" s="77" t="s">
        <v>23</v>
      </c>
      <c r="E908" s="79">
        <v>0.82</v>
      </c>
      <c r="F908" s="79">
        <v>0.30241600000000002</v>
      </c>
    </row>
    <row r="909" spans="1:6" s="27" customFormat="1" x14ac:dyDescent="0.4">
      <c r="A909" s="76"/>
      <c r="B909" s="77"/>
      <c r="C909" s="78" t="s">
        <v>604</v>
      </c>
      <c r="D909" s="77" t="s">
        <v>23</v>
      </c>
      <c r="E909" s="79">
        <v>0.26</v>
      </c>
      <c r="F909" s="79">
        <v>9.5888000000000001E-2</v>
      </c>
    </row>
    <row r="910" spans="1:6" s="27" customFormat="1" ht="23.25" x14ac:dyDescent="0.4">
      <c r="A910" s="76"/>
      <c r="B910" s="77"/>
      <c r="C910" s="78" t="s">
        <v>549</v>
      </c>
      <c r="D910" s="77" t="s">
        <v>23</v>
      </c>
      <c r="E910" s="79">
        <v>1.02</v>
      </c>
      <c r="F910" s="79">
        <v>0.37617600000000001</v>
      </c>
    </row>
    <row r="911" spans="1:6" s="27" customFormat="1" x14ac:dyDescent="0.4">
      <c r="A911" s="76"/>
      <c r="B911" s="77"/>
      <c r="C911" s="78" t="s">
        <v>545</v>
      </c>
      <c r="D911" s="77" t="s">
        <v>21</v>
      </c>
      <c r="E911" s="79">
        <v>29.2</v>
      </c>
      <c r="F911" s="79">
        <v>10.769</v>
      </c>
    </row>
    <row r="912" spans="1:6" s="27" customFormat="1" x14ac:dyDescent="0.4">
      <c r="A912" s="76"/>
      <c r="B912" s="77"/>
      <c r="C912" s="78" t="s">
        <v>314</v>
      </c>
      <c r="D912" s="77" t="s">
        <v>21</v>
      </c>
      <c r="E912" s="79">
        <v>42.9</v>
      </c>
      <c r="F912" s="79">
        <v>15.8215</v>
      </c>
    </row>
    <row r="913" spans="1:6" s="27" customFormat="1" ht="23.25" x14ac:dyDescent="0.4">
      <c r="A913" s="54" t="s">
        <v>288</v>
      </c>
      <c r="B913" s="55" t="s">
        <v>34</v>
      </c>
      <c r="C913" s="55" t="s">
        <v>564</v>
      </c>
      <c r="D913" s="56" t="s">
        <v>14</v>
      </c>
      <c r="E913" s="104">
        <v>5.23</v>
      </c>
      <c r="F913" s="105"/>
    </row>
    <row r="914" spans="1:6" s="27" customFormat="1" ht="23.25" x14ac:dyDescent="0.4">
      <c r="A914" s="54" t="s">
        <v>289</v>
      </c>
      <c r="B914" s="55" t="s">
        <v>34</v>
      </c>
      <c r="C914" s="55" t="s">
        <v>558</v>
      </c>
      <c r="D914" s="56" t="s">
        <v>14</v>
      </c>
      <c r="E914" s="104">
        <v>0.61799999999999999</v>
      </c>
      <c r="F914" s="105"/>
    </row>
    <row r="915" spans="1:6" s="27" customFormat="1" ht="34.9" x14ac:dyDescent="0.4">
      <c r="A915" s="54" t="s">
        <v>290</v>
      </c>
      <c r="B915" s="55" t="s">
        <v>605</v>
      </c>
      <c r="C915" s="55" t="s">
        <v>862</v>
      </c>
      <c r="D915" s="56" t="s">
        <v>309</v>
      </c>
      <c r="E915" s="106">
        <v>0.218</v>
      </c>
      <c r="F915" s="107"/>
    </row>
    <row r="916" spans="1:6" s="27" customFormat="1" x14ac:dyDescent="0.4">
      <c r="A916" s="57"/>
      <c r="B916" s="58"/>
      <c r="C916" s="59" t="s">
        <v>11</v>
      </c>
      <c r="D916" s="58" t="s">
        <v>12</v>
      </c>
      <c r="E916" s="60">
        <v>32.369999999999997</v>
      </c>
      <c r="F916" s="60">
        <v>7.0567000000000002</v>
      </c>
    </row>
    <row r="917" spans="1:6" s="27" customFormat="1" x14ac:dyDescent="0.4">
      <c r="A917" s="61"/>
      <c r="B917" s="62"/>
      <c r="C917" s="63" t="s">
        <v>797</v>
      </c>
      <c r="D917" s="62" t="s">
        <v>13</v>
      </c>
      <c r="E917" s="64">
        <v>0.96</v>
      </c>
      <c r="F917" s="64">
        <v>0.20927999999999999</v>
      </c>
    </row>
    <row r="918" spans="1:6" s="27" customFormat="1" x14ac:dyDescent="0.4">
      <c r="A918" s="65"/>
      <c r="B918" s="66"/>
      <c r="C918" s="67" t="s">
        <v>18</v>
      </c>
      <c r="D918" s="66" t="s">
        <v>13</v>
      </c>
      <c r="E918" s="68">
        <v>0.12</v>
      </c>
      <c r="F918" s="68">
        <v>2.6159999999999999E-2</v>
      </c>
    </row>
    <row r="919" spans="1:6" s="27" customFormat="1" x14ac:dyDescent="0.4">
      <c r="A919" s="65"/>
      <c r="B919" s="66"/>
      <c r="C919" s="67" t="s">
        <v>233</v>
      </c>
      <c r="D919" s="66" t="s">
        <v>13</v>
      </c>
      <c r="E919" s="68">
        <v>0.28999999999999998</v>
      </c>
      <c r="F919" s="68">
        <v>6.3219999999999998E-2</v>
      </c>
    </row>
    <row r="920" spans="1:6" s="27" customFormat="1" x14ac:dyDescent="0.4">
      <c r="A920" s="65"/>
      <c r="B920" s="66"/>
      <c r="C920" s="67" t="s">
        <v>234</v>
      </c>
      <c r="D920" s="66" t="s">
        <v>13</v>
      </c>
      <c r="E920" s="68">
        <v>9.6199999999999992</v>
      </c>
      <c r="F920" s="68">
        <v>2.0972</v>
      </c>
    </row>
    <row r="921" spans="1:6" s="27" customFormat="1" x14ac:dyDescent="0.4">
      <c r="A921" s="65"/>
      <c r="B921" s="66"/>
      <c r="C921" s="67" t="s">
        <v>19</v>
      </c>
      <c r="D921" s="66" t="s">
        <v>13</v>
      </c>
      <c r="E921" s="68">
        <v>0.19</v>
      </c>
      <c r="F921" s="68">
        <v>4.1419999999999998E-2</v>
      </c>
    </row>
    <row r="922" spans="1:6" s="27" customFormat="1" x14ac:dyDescent="0.4">
      <c r="A922" s="65"/>
      <c r="B922" s="66"/>
      <c r="C922" s="67" t="s">
        <v>72</v>
      </c>
      <c r="D922" s="66" t="s">
        <v>13</v>
      </c>
      <c r="E922" s="68">
        <v>1.68</v>
      </c>
      <c r="F922" s="68">
        <v>0.36624000000000001</v>
      </c>
    </row>
    <row r="923" spans="1:6" s="27" customFormat="1" x14ac:dyDescent="0.4">
      <c r="A923" s="69"/>
      <c r="B923" s="70"/>
      <c r="C923" s="71" t="s">
        <v>20</v>
      </c>
      <c r="D923" s="70" t="s">
        <v>14</v>
      </c>
      <c r="E923" s="72">
        <v>1.0000000000000001E-5</v>
      </c>
      <c r="F923" s="72">
        <v>1.9999999999999999E-6</v>
      </c>
    </row>
    <row r="924" spans="1:6" s="27" customFormat="1" x14ac:dyDescent="0.4">
      <c r="A924" s="76"/>
      <c r="B924" s="77"/>
      <c r="C924" s="78" t="s">
        <v>236</v>
      </c>
      <c r="D924" s="77" t="s">
        <v>14</v>
      </c>
      <c r="E924" s="79">
        <v>3.1E-4</v>
      </c>
      <c r="F924" s="79">
        <v>6.7999999999999999E-5</v>
      </c>
    </row>
    <row r="925" spans="1:6" s="27" customFormat="1" x14ac:dyDescent="0.4">
      <c r="A925" s="76"/>
      <c r="B925" s="77"/>
      <c r="C925" s="78" t="s">
        <v>237</v>
      </c>
      <c r="D925" s="77" t="s">
        <v>14</v>
      </c>
      <c r="E925" s="79">
        <v>5.9999999999999995E-4</v>
      </c>
      <c r="F925" s="79">
        <v>1.3100000000000001E-4</v>
      </c>
    </row>
    <row r="926" spans="1:6" s="27" customFormat="1" x14ac:dyDescent="0.4">
      <c r="A926" s="76"/>
      <c r="B926" s="77"/>
      <c r="C926" s="78" t="s">
        <v>22</v>
      </c>
      <c r="D926" s="77" t="s">
        <v>14</v>
      </c>
      <c r="E926" s="79">
        <v>3.0000000000000001E-5</v>
      </c>
      <c r="F926" s="79">
        <v>6.9999999999999999E-6</v>
      </c>
    </row>
    <row r="927" spans="1:6" s="27" customFormat="1" x14ac:dyDescent="0.4">
      <c r="A927" s="76"/>
      <c r="B927" s="77"/>
      <c r="C927" s="78" t="s">
        <v>470</v>
      </c>
      <c r="D927" s="77" t="s">
        <v>14</v>
      </c>
      <c r="E927" s="79">
        <v>1.9400000000000001E-3</v>
      </c>
      <c r="F927" s="79">
        <v>4.2299999999999998E-4</v>
      </c>
    </row>
    <row r="928" spans="1:6" s="27" customFormat="1" x14ac:dyDescent="0.4">
      <c r="A928" s="76"/>
      <c r="B928" s="77"/>
      <c r="C928" s="78" t="s">
        <v>77</v>
      </c>
      <c r="D928" s="77" t="s">
        <v>23</v>
      </c>
      <c r="E928" s="79">
        <v>1.37</v>
      </c>
      <c r="F928" s="79">
        <v>0.29865999999999998</v>
      </c>
    </row>
    <row r="929" spans="1:6" s="27" customFormat="1" x14ac:dyDescent="0.4">
      <c r="A929" s="76"/>
      <c r="B929" s="77"/>
      <c r="C929" s="78" t="s">
        <v>606</v>
      </c>
      <c r="D929" s="77" t="s">
        <v>14</v>
      </c>
      <c r="E929" s="79">
        <v>4.0000000000000001E-3</v>
      </c>
      <c r="F929" s="79">
        <v>8.7200000000000005E-4</v>
      </c>
    </row>
    <row r="930" spans="1:6" s="27" customFormat="1" x14ac:dyDescent="0.4">
      <c r="A930" s="76"/>
      <c r="B930" s="77"/>
      <c r="C930" s="78" t="s">
        <v>238</v>
      </c>
      <c r="D930" s="77" t="s">
        <v>30</v>
      </c>
      <c r="E930" s="79">
        <v>7.0000000000000007E-2</v>
      </c>
      <c r="F930" s="79">
        <v>1.5259999999999999E-2</v>
      </c>
    </row>
    <row r="931" spans="1:6" s="27" customFormat="1" x14ac:dyDescent="0.4">
      <c r="A931" s="76"/>
      <c r="B931" s="77"/>
      <c r="C931" s="78" t="s">
        <v>110</v>
      </c>
      <c r="D931" s="77" t="s">
        <v>76</v>
      </c>
      <c r="E931" s="79">
        <v>0.41</v>
      </c>
      <c r="F931" s="79">
        <v>8.9380000000000001E-2</v>
      </c>
    </row>
    <row r="932" spans="1:6" s="27" customFormat="1" ht="23.25" x14ac:dyDescent="0.4">
      <c r="A932" s="76"/>
      <c r="B932" s="77"/>
      <c r="C932" s="78" t="s">
        <v>239</v>
      </c>
      <c r="D932" s="77" t="s">
        <v>14</v>
      </c>
      <c r="E932" s="79">
        <v>1E-3</v>
      </c>
      <c r="F932" s="79">
        <v>2.1800000000000001E-4</v>
      </c>
    </row>
    <row r="933" spans="1:6" s="27" customFormat="1" ht="23.25" x14ac:dyDescent="0.4">
      <c r="A933" s="76"/>
      <c r="B933" s="77"/>
      <c r="C933" s="78" t="s">
        <v>240</v>
      </c>
      <c r="D933" s="77" t="s">
        <v>241</v>
      </c>
      <c r="E933" s="79">
        <v>1.8700000000000001E-2</v>
      </c>
      <c r="F933" s="79">
        <v>4.0769999999999999E-3</v>
      </c>
    </row>
    <row r="934" spans="1:6" s="27" customFormat="1" x14ac:dyDescent="0.4">
      <c r="A934" s="54" t="s">
        <v>291</v>
      </c>
      <c r="B934" s="55" t="s">
        <v>34</v>
      </c>
      <c r="C934" s="55" t="s">
        <v>863</v>
      </c>
      <c r="D934" s="56" t="s">
        <v>14</v>
      </c>
      <c r="E934" s="104">
        <v>0.215</v>
      </c>
      <c r="F934" s="105"/>
    </row>
    <row r="935" spans="1:6" s="27" customFormat="1" x14ac:dyDescent="0.4">
      <c r="A935" s="54" t="s">
        <v>292</v>
      </c>
      <c r="B935" s="55" t="s">
        <v>34</v>
      </c>
      <c r="C935" s="55" t="s">
        <v>864</v>
      </c>
      <c r="D935" s="56" t="s">
        <v>14</v>
      </c>
      <c r="E935" s="104">
        <v>3.0000000000000001E-3</v>
      </c>
      <c r="F935" s="105"/>
    </row>
    <row r="936" spans="1:6" s="27" customFormat="1" ht="34.9" x14ac:dyDescent="0.4">
      <c r="A936" s="54" t="s">
        <v>293</v>
      </c>
      <c r="B936" s="55" t="s">
        <v>865</v>
      </c>
      <c r="C936" s="55" t="s">
        <v>866</v>
      </c>
      <c r="D936" s="56" t="s">
        <v>309</v>
      </c>
      <c r="E936" s="106">
        <v>0.33700000000000002</v>
      </c>
      <c r="F936" s="107"/>
    </row>
    <row r="937" spans="1:6" s="27" customFormat="1" x14ac:dyDescent="0.4">
      <c r="A937" s="57"/>
      <c r="B937" s="58"/>
      <c r="C937" s="59" t="s">
        <v>11</v>
      </c>
      <c r="D937" s="58" t="s">
        <v>12</v>
      </c>
      <c r="E937" s="60">
        <v>39.130000000000003</v>
      </c>
      <c r="F937" s="60">
        <v>13.1868</v>
      </c>
    </row>
    <row r="938" spans="1:6" s="27" customFormat="1" x14ac:dyDescent="0.4">
      <c r="A938" s="61"/>
      <c r="B938" s="62"/>
      <c r="C938" s="63" t="s">
        <v>18</v>
      </c>
      <c r="D938" s="62" t="s">
        <v>13</v>
      </c>
      <c r="E938" s="64">
        <v>4.62</v>
      </c>
      <c r="F938" s="64">
        <v>1.5569</v>
      </c>
    </row>
    <row r="939" spans="1:6" s="27" customFormat="1" x14ac:dyDescent="0.4">
      <c r="A939" s="65"/>
      <c r="B939" s="66"/>
      <c r="C939" s="67" t="s">
        <v>233</v>
      </c>
      <c r="D939" s="66" t="s">
        <v>13</v>
      </c>
      <c r="E939" s="68">
        <v>0.28999999999999998</v>
      </c>
      <c r="F939" s="68">
        <v>9.7729999999999997E-2</v>
      </c>
    </row>
    <row r="940" spans="1:6" s="27" customFormat="1" x14ac:dyDescent="0.4">
      <c r="A940" s="65"/>
      <c r="B940" s="66"/>
      <c r="C940" s="67" t="s">
        <v>234</v>
      </c>
      <c r="D940" s="66" t="s">
        <v>13</v>
      </c>
      <c r="E940" s="68">
        <v>6.71</v>
      </c>
      <c r="F940" s="68">
        <v>2.2612999999999999</v>
      </c>
    </row>
    <row r="941" spans="1:6" s="27" customFormat="1" x14ac:dyDescent="0.4">
      <c r="A941" s="65"/>
      <c r="B941" s="66"/>
      <c r="C941" s="67" t="s">
        <v>19</v>
      </c>
      <c r="D941" s="66" t="s">
        <v>13</v>
      </c>
      <c r="E941" s="68">
        <v>0.19</v>
      </c>
      <c r="F941" s="68">
        <v>6.4030000000000004E-2</v>
      </c>
    </row>
    <row r="942" spans="1:6" s="27" customFormat="1" x14ac:dyDescent="0.4">
      <c r="A942" s="65"/>
      <c r="B942" s="66"/>
      <c r="C942" s="67" t="s">
        <v>72</v>
      </c>
      <c r="D942" s="66" t="s">
        <v>13</v>
      </c>
      <c r="E942" s="68">
        <v>1.63</v>
      </c>
      <c r="F942" s="68">
        <v>0.54930999999999996</v>
      </c>
    </row>
    <row r="943" spans="1:6" s="27" customFormat="1" x14ac:dyDescent="0.4">
      <c r="A943" s="69"/>
      <c r="B943" s="70"/>
      <c r="C943" s="71" t="s">
        <v>20</v>
      </c>
      <c r="D943" s="70" t="s">
        <v>14</v>
      </c>
      <c r="E943" s="72">
        <v>1.0000000000000001E-5</v>
      </c>
      <c r="F943" s="72">
        <v>3.0000000000000001E-6</v>
      </c>
    </row>
    <row r="944" spans="1:6" s="27" customFormat="1" x14ac:dyDescent="0.4">
      <c r="A944" s="76"/>
      <c r="B944" s="77"/>
      <c r="C944" s="78" t="s">
        <v>236</v>
      </c>
      <c r="D944" s="77" t="s">
        <v>14</v>
      </c>
      <c r="E944" s="79">
        <v>3.1E-4</v>
      </c>
      <c r="F944" s="79">
        <v>1.0399999999999999E-4</v>
      </c>
    </row>
    <row r="945" spans="1:6" s="27" customFormat="1" x14ac:dyDescent="0.4">
      <c r="A945" s="76"/>
      <c r="B945" s="77"/>
      <c r="C945" s="78" t="s">
        <v>237</v>
      </c>
      <c r="D945" s="77" t="s">
        <v>14</v>
      </c>
      <c r="E945" s="79">
        <v>5.9999999999999995E-4</v>
      </c>
      <c r="F945" s="79">
        <v>2.02E-4</v>
      </c>
    </row>
    <row r="946" spans="1:6" s="27" customFormat="1" x14ac:dyDescent="0.4">
      <c r="A946" s="76"/>
      <c r="B946" s="77"/>
      <c r="C946" s="78" t="s">
        <v>22</v>
      </c>
      <c r="D946" s="77" t="s">
        <v>14</v>
      </c>
      <c r="E946" s="79">
        <v>3.0000000000000001E-5</v>
      </c>
      <c r="F946" s="79">
        <v>1.0000000000000001E-5</v>
      </c>
    </row>
    <row r="947" spans="1:6" s="27" customFormat="1" x14ac:dyDescent="0.4">
      <c r="A947" s="76"/>
      <c r="B947" s="77"/>
      <c r="C947" s="78" t="s">
        <v>470</v>
      </c>
      <c r="D947" s="77" t="s">
        <v>14</v>
      </c>
      <c r="E947" s="79">
        <v>1.9400000000000001E-3</v>
      </c>
      <c r="F947" s="79">
        <v>6.5399999999999996E-4</v>
      </c>
    </row>
    <row r="948" spans="1:6" s="27" customFormat="1" x14ac:dyDescent="0.4">
      <c r="A948" s="76"/>
      <c r="B948" s="77"/>
      <c r="C948" s="78" t="s">
        <v>77</v>
      </c>
      <c r="D948" s="77" t="s">
        <v>23</v>
      </c>
      <c r="E948" s="79">
        <v>1.37</v>
      </c>
      <c r="F948" s="79">
        <v>0.46168999999999999</v>
      </c>
    </row>
    <row r="949" spans="1:6" s="27" customFormat="1" x14ac:dyDescent="0.4">
      <c r="A949" s="76"/>
      <c r="B949" s="77"/>
      <c r="C949" s="78" t="s">
        <v>606</v>
      </c>
      <c r="D949" s="77" t="s">
        <v>14</v>
      </c>
      <c r="E949" s="79">
        <v>4.0000000000000001E-3</v>
      </c>
      <c r="F949" s="79">
        <v>1.348E-3</v>
      </c>
    </row>
    <row r="950" spans="1:6" s="27" customFormat="1" x14ac:dyDescent="0.4">
      <c r="A950" s="76"/>
      <c r="B950" s="77"/>
      <c r="C950" s="78" t="s">
        <v>238</v>
      </c>
      <c r="D950" s="77" t="s">
        <v>30</v>
      </c>
      <c r="E950" s="79">
        <v>7.0000000000000007E-2</v>
      </c>
      <c r="F950" s="79">
        <v>2.359E-2</v>
      </c>
    </row>
    <row r="951" spans="1:6" s="27" customFormat="1" x14ac:dyDescent="0.4">
      <c r="A951" s="76"/>
      <c r="B951" s="77"/>
      <c r="C951" s="78" t="s">
        <v>110</v>
      </c>
      <c r="D951" s="77" t="s">
        <v>76</v>
      </c>
      <c r="E951" s="79">
        <v>0.41</v>
      </c>
      <c r="F951" s="79">
        <v>0.13816999999999999</v>
      </c>
    </row>
    <row r="952" spans="1:6" s="27" customFormat="1" ht="23.25" x14ac:dyDescent="0.4">
      <c r="A952" s="76"/>
      <c r="B952" s="77"/>
      <c r="C952" s="78" t="s">
        <v>239</v>
      </c>
      <c r="D952" s="77" t="s">
        <v>14</v>
      </c>
      <c r="E952" s="79">
        <v>1E-3</v>
      </c>
      <c r="F952" s="79">
        <v>3.3700000000000001E-4</v>
      </c>
    </row>
    <row r="953" spans="1:6" s="27" customFormat="1" ht="23.25" x14ac:dyDescent="0.4">
      <c r="A953" s="76"/>
      <c r="B953" s="77"/>
      <c r="C953" s="78" t="s">
        <v>240</v>
      </c>
      <c r="D953" s="77" t="s">
        <v>241</v>
      </c>
      <c r="E953" s="79">
        <v>1.8700000000000001E-2</v>
      </c>
      <c r="F953" s="79">
        <v>6.3020000000000003E-3</v>
      </c>
    </row>
    <row r="954" spans="1:6" s="27" customFormat="1" x14ac:dyDescent="0.4">
      <c r="A954" s="54" t="s">
        <v>294</v>
      </c>
      <c r="B954" s="55" t="s">
        <v>34</v>
      </c>
      <c r="C954" s="55" t="s">
        <v>568</v>
      </c>
      <c r="D954" s="56" t="s">
        <v>14</v>
      </c>
      <c r="E954" s="104">
        <v>5.7000000000000002E-2</v>
      </c>
      <c r="F954" s="105"/>
    </row>
    <row r="955" spans="1:6" s="27" customFormat="1" x14ac:dyDescent="0.4">
      <c r="A955" s="54" t="s">
        <v>295</v>
      </c>
      <c r="B955" s="55" t="s">
        <v>34</v>
      </c>
      <c r="C955" s="55" t="s">
        <v>867</v>
      </c>
      <c r="D955" s="56" t="s">
        <v>14</v>
      </c>
      <c r="E955" s="104">
        <v>2.5999999999999999E-2</v>
      </c>
      <c r="F955" s="105"/>
    </row>
    <row r="956" spans="1:6" s="27" customFormat="1" x14ac:dyDescent="0.4">
      <c r="A956" s="54" t="s">
        <v>296</v>
      </c>
      <c r="B956" s="55" t="s">
        <v>34</v>
      </c>
      <c r="C956" s="55" t="s">
        <v>868</v>
      </c>
      <c r="D956" s="56" t="s">
        <v>14</v>
      </c>
      <c r="E956" s="104">
        <v>0.254</v>
      </c>
      <c r="F956" s="105"/>
    </row>
    <row r="957" spans="1:6" s="27" customFormat="1" ht="34.9" x14ac:dyDescent="0.4">
      <c r="A957" s="54" t="s">
        <v>297</v>
      </c>
      <c r="B957" s="55" t="s">
        <v>605</v>
      </c>
      <c r="C957" s="55" t="s">
        <v>869</v>
      </c>
      <c r="D957" s="56" t="s">
        <v>309</v>
      </c>
      <c r="E957" s="106">
        <v>0.111</v>
      </c>
      <c r="F957" s="107"/>
    </row>
    <row r="958" spans="1:6" s="27" customFormat="1" x14ac:dyDescent="0.4">
      <c r="A958" s="57"/>
      <c r="B958" s="58"/>
      <c r="C958" s="59" t="s">
        <v>11</v>
      </c>
      <c r="D958" s="58" t="s">
        <v>12</v>
      </c>
      <c r="E958" s="60">
        <v>32.369999999999997</v>
      </c>
      <c r="F958" s="60">
        <v>3.5931000000000002</v>
      </c>
    </row>
    <row r="959" spans="1:6" s="27" customFormat="1" x14ac:dyDescent="0.4">
      <c r="A959" s="61"/>
      <c r="B959" s="62"/>
      <c r="C959" s="63" t="s">
        <v>797</v>
      </c>
      <c r="D959" s="62" t="s">
        <v>13</v>
      </c>
      <c r="E959" s="64">
        <v>0.96</v>
      </c>
      <c r="F959" s="64">
        <v>0.10656</v>
      </c>
    </row>
    <row r="960" spans="1:6" s="27" customFormat="1" x14ac:dyDescent="0.4">
      <c r="A960" s="65"/>
      <c r="B960" s="66"/>
      <c r="C960" s="67" t="s">
        <v>18</v>
      </c>
      <c r="D960" s="66" t="s">
        <v>13</v>
      </c>
      <c r="E960" s="68">
        <v>0.12</v>
      </c>
      <c r="F960" s="68">
        <v>1.332E-2</v>
      </c>
    </row>
    <row r="961" spans="1:6" s="27" customFormat="1" x14ac:dyDescent="0.4">
      <c r="A961" s="65"/>
      <c r="B961" s="66"/>
      <c r="C961" s="67" t="s">
        <v>233</v>
      </c>
      <c r="D961" s="66" t="s">
        <v>13</v>
      </c>
      <c r="E961" s="68">
        <v>0.28999999999999998</v>
      </c>
      <c r="F961" s="68">
        <v>3.2190000000000003E-2</v>
      </c>
    </row>
    <row r="962" spans="1:6" s="27" customFormat="1" x14ac:dyDescent="0.4">
      <c r="A962" s="65"/>
      <c r="B962" s="66"/>
      <c r="C962" s="67" t="s">
        <v>234</v>
      </c>
      <c r="D962" s="66" t="s">
        <v>13</v>
      </c>
      <c r="E962" s="68">
        <v>9.6199999999999992</v>
      </c>
      <c r="F962" s="68">
        <v>1.0678000000000001</v>
      </c>
    </row>
    <row r="963" spans="1:6" s="27" customFormat="1" x14ac:dyDescent="0.4">
      <c r="A963" s="65"/>
      <c r="B963" s="66"/>
      <c r="C963" s="67" t="s">
        <v>19</v>
      </c>
      <c r="D963" s="66" t="s">
        <v>13</v>
      </c>
      <c r="E963" s="68">
        <v>0.19</v>
      </c>
      <c r="F963" s="68">
        <v>2.1090000000000001E-2</v>
      </c>
    </row>
    <row r="964" spans="1:6" s="27" customFormat="1" x14ac:dyDescent="0.4">
      <c r="A964" s="65"/>
      <c r="B964" s="66"/>
      <c r="C964" s="67" t="s">
        <v>72</v>
      </c>
      <c r="D964" s="66" t="s">
        <v>13</v>
      </c>
      <c r="E964" s="68">
        <v>1.68</v>
      </c>
      <c r="F964" s="68">
        <v>0.18648000000000001</v>
      </c>
    </row>
    <row r="965" spans="1:6" s="27" customFormat="1" x14ac:dyDescent="0.4">
      <c r="A965" s="69"/>
      <c r="B965" s="70"/>
      <c r="C965" s="71" t="s">
        <v>20</v>
      </c>
      <c r="D965" s="70" t="s">
        <v>14</v>
      </c>
      <c r="E965" s="72">
        <v>1.0000000000000001E-5</v>
      </c>
      <c r="F965" s="72">
        <v>9.9999999999999995E-7</v>
      </c>
    </row>
    <row r="966" spans="1:6" s="27" customFormat="1" x14ac:dyDescent="0.4">
      <c r="A966" s="76"/>
      <c r="B966" s="77"/>
      <c r="C966" s="78" t="s">
        <v>236</v>
      </c>
      <c r="D966" s="77" t="s">
        <v>14</v>
      </c>
      <c r="E966" s="79">
        <v>3.1E-4</v>
      </c>
      <c r="F966" s="79">
        <v>3.4E-5</v>
      </c>
    </row>
    <row r="967" spans="1:6" s="27" customFormat="1" x14ac:dyDescent="0.4">
      <c r="A967" s="76"/>
      <c r="B967" s="77"/>
      <c r="C967" s="78" t="s">
        <v>237</v>
      </c>
      <c r="D967" s="77" t="s">
        <v>14</v>
      </c>
      <c r="E967" s="79">
        <v>5.9999999999999995E-4</v>
      </c>
      <c r="F967" s="79">
        <v>6.7000000000000002E-5</v>
      </c>
    </row>
    <row r="968" spans="1:6" s="27" customFormat="1" x14ac:dyDescent="0.4">
      <c r="A968" s="76"/>
      <c r="B968" s="77"/>
      <c r="C968" s="78" t="s">
        <v>22</v>
      </c>
      <c r="D968" s="77" t="s">
        <v>14</v>
      </c>
      <c r="E968" s="79">
        <v>3.0000000000000001E-5</v>
      </c>
      <c r="F968" s="79">
        <v>3.0000000000000001E-6</v>
      </c>
    </row>
    <row r="969" spans="1:6" s="27" customFormat="1" x14ac:dyDescent="0.4">
      <c r="A969" s="76"/>
      <c r="B969" s="77"/>
      <c r="C969" s="78" t="s">
        <v>470</v>
      </c>
      <c r="D969" s="77" t="s">
        <v>14</v>
      </c>
      <c r="E969" s="79">
        <v>1.9400000000000001E-3</v>
      </c>
      <c r="F969" s="79">
        <v>2.1499999999999999E-4</v>
      </c>
    </row>
    <row r="970" spans="1:6" s="27" customFormat="1" x14ac:dyDescent="0.4">
      <c r="A970" s="76"/>
      <c r="B970" s="77"/>
      <c r="C970" s="78" t="s">
        <v>77</v>
      </c>
      <c r="D970" s="77" t="s">
        <v>23</v>
      </c>
      <c r="E970" s="79">
        <v>1.37</v>
      </c>
      <c r="F970" s="79">
        <v>0.15207000000000001</v>
      </c>
    </row>
    <row r="971" spans="1:6" s="27" customFormat="1" x14ac:dyDescent="0.4">
      <c r="A971" s="76"/>
      <c r="B971" s="77"/>
      <c r="C971" s="78" t="s">
        <v>606</v>
      </c>
      <c r="D971" s="77" t="s">
        <v>14</v>
      </c>
      <c r="E971" s="79">
        <v>4.0000000000000001E-3</v>
      </c>
      <c r="F971" s="79">
        <v>4.44E-4</v>
      </c>
    </row>
    <row r="972" spans="1:6" s="27" customFormat="1" x14ac:dyDescent="0.4">
      <c r="A972" s="76"/>
      <c r="B972" s="77"/>
      <c r="C972" s="78" t="s">
        <v>238</v>
      </c>
      <c r="D972" s="77" t="s">
        <v>30</v>
      </c>
      <c r="E972" s="79">
        <v>7.0000000000000007E-2</v>
      </c>
      <c r="F972" s="79">
        <v>7.77E-3</v>
      </c>
    </row>
    <row r="973" spans="1:6" s="27" customFormat="1" x14ac:dyDescent="0.4">
      <c r="A973" s="76"/>
      <c r="B973" s="77"/>
      <c r="C973" s="78" t="s">
        <v>110</v>
      </c>
      <c r="D973" s="77" t="s">
        <v>76</v>
      </c>
      <c r="E973" s="79">
        <v>0.41</v>
      </c>
      <c r="F973" s="79">
        <v>4.5510000000000002E-2</v>
      </c>
    </row>
    <row r="974" spans="1:6" s="27" customFormat="1" ht="23.25" x14ac:dyDescent="0.4">
      <c r="A974" s="76"/>
      <c r="B974" s="77"/>
      <c r="C974" s="78" t="s">
        <v>239</v>
      </c>
      <c r="D974" s="77" t="s">
        <v>14</v>
      </c>
      <c r="E974" s="79">
        <v>1E-3</v>
      </c>
      <c r="F974" s="79">
        <v>1.11E-4</v>
      </c>
    </row>
    <row r="975" spans="1:6" s="27" customFormat="1" ht="23.25" x14ac:dyDescent="0.4">
      <c r="A975" s="76"/>
      <c r="B975" s="77"/>
      <c r="C975" s="78" t="s">
        <v>240</v>
      </c>
      <c r="D975" s="77" t="s">
        <v>241</v>
      </c>
      <c r="E975" s="79">
        <v>1.8700000000000001E-2</v>
      </c>
      <c r="F975" s="79">
        <v>2.0760000000000002E-3</v>
      </c>
    </row>
    <row r="976" spans="1:6" s="27" customFormat="1" x14ac:dyDescent="0.4">
      <c r="A976" s="54" t="s">
        <v>298</v>
      </c>
      <c r="B976" s="55" t="s">
        <v>34</v>
      </c>
      <c r="C976" s="55" t="s">
        <v>870</v>
      </c>
      <c r="D976" s="56" t="s">
        <v>14</v>
      </c>
      <c r="E976" s="104">
        <v>7.0999999999999994E-2</v>
      </c>
      <c r="F976" s="105"/>
    </row>
    <row r="977" spans="1:6" s="27" customFormat="1" x14ac:dyDescent="0.4">
      <c r="A977" s="54" t="s">
        <v>299</v>
      </c>
      <c r="B977" s="55" t="s">
        <v>34</v>
      </c>
      <c r="C977" s="55" t="s">
        <v>871</v>
      </c>
      <c r="D977" s="56" t="s">
        <v>14</v>
      </c>
      <c r="E977" s="104">
        <v>0.04</v>
      </c>
      <c r="F977" s="105"/>
    </row>
    <row r="978" spans="1:6" s="27" customFormat="1" ht="23.25" x14ac:dyDescent="0.4">
      <c r="A978" s="54" t="s">
        <v>300</v>
      </c>
      <c r="B978" s="55" t="s">
        <v>34</v>
      </c>
      <c r="C978" s="55" t="s">
        <v>518</v>
      </c>
      <c r="D978" s="56" t="s">
        <v>14</v>
      </c>
      <c r="E978" s="104">
        <v>4.5629999999999997</v>
      </c>
      <c r="F978" s="105"/>
    </row>
    <row r="979" spans="1:6" s="27" customFormat="1" ht="23.25" x14ac:dyDescent="0.4">
      <c r="A979" s="54" t="s">
        <v>301</v>
      </c>
      <c r="B979" s="55" t="s">
        <v>34</v>
      </c>
      <c r="C979" s="55" t="s">
        <v>558</v>
      </c>
      <c r="D979" s="56" t="s">
        <v>14</v>
      </c>
      <c r="E979" s="104">
        <v>0.61499999999999999</v>
      </c>
      <c r="F979" s="105"/>
    </row>
    <row r="980" spans="1:6" s="27" customFormat="1" x14ac:dyDescent="0.4">
      <c r="A980" s="51"/>
      <c r="B980" s="52"/>
      <c r="C980" s="110" t="s">
        <v>621</v>
      </c>
      <c r="D980" s="110"/>
      <c r="E980" s="52"/>
      <c r="F980" s="53"/>
    </row>
    <row r="981" spans="1:6" s="27" customFormat="1" ht="34.9" x14ac:dyDescent="0.4">
      <c r="A981" s="54" t="s">
        <v>302</v>
      </c>
      <c r="B981" s="55" t="s">
        <v>626</v>
      </c>
      <c r="C981" s="55" t="s">
        <v>627</v>
      </c>
      <c r="D981" s="56" t="s">
        <v>628</v>
      </c>
      <c r="E981" s="106">
        <v>3.2</v>
      </c>
      <c r="F981" s="107"/>
    </row>
    <row r="982" spans="1:6" s="27" customFormat="1" x14ac:dyDescent="0.4">
      <c r="A982" s="57"/>
      <c r="B982" s="58"/>
      <c r="C982" s="59" t="s">
        <v>11</v>
      </c>
      <c r="D982" s="58" t="s">
        <v>12</v>
      </c>
      <c r="E982" s="60">
        <v>2.4</v>
      </c>
      <c r="F982" s="60">
        <v>7.68</v>
      </c>
    </row>
    <row r="983" spans="1:6" s="27" customFormat="1" x14ac:dyDescent="0.4">
      <c r="A983" s="61"/>
      <c r="B983" s="62"/>
      <c r="C983" s="63" t="s">
        <v>629</v>
      </c>
      <c r="D983" s="62" t="s">
        <v>13</v>
      </c>
      <c r="E983" s="64">
        <v>0.08</v>
      </c>
      <c r="F983" s="64">
        <v>0.25600000000000001</v>
      </c>
    </row>
    <row r="984" spans="1:6" s="27" customFormat="1" x14ac:dyDescent="0.4">
      <c r="A984" s="65"/>
      <c r="B984" s="66"/>
      <c r="C984" s="67" t="s">
        <v>613</v>
      </c>
      <c r="D984" s="66" t="s">
        <v>13</v>
      </c>
      <c r="E984" s="68">
        <v>0.92</v>
      </c>
      <c r="F984" s="68">
        <v>2.944</v>
      </c>
    </row>
    <row r="985" spans="1:6" s="27" customFormat="1" x14ac:dyDescent="0.4">
      <c r="A985" s="69"/>
      <c r="B985" s="70"/>
      <c r="C985" s="71" t="s">
        <v>74</v>
      </c>
      <c r="D985" s="70" t="s">
        <v>23</v>
      </c>
      <c r="E985" s="72">
        <v>0.15</v>
      </c>
      <c r="F985" s="72">
        <v>0.48</v>
      </c>
    </row>
    <row r="986" spans="1:6" s="27" customFormat="1" x14ac:dyDescent="0.4">
      <c r="A986" s="76"/>
      <c r="B986" s="77"/>
      <c r="C986" s="78" t="s">
        <v>630</v>
      </c>
      <c r="D986" s="77" t="s">
        <v>23</v>
      </c>
      <c r="E986" s="79">
        <v>1.3</v>
      </c>
      <c r="F986" s="79">
        <v>4.16</v>
      </c>
    </row>
    <row r="987" spans="1:6" s="27" customFormat="1" ht="23.25" x14ac:dyDescent="0.4">
      <c r="A987" s="54" t="s">
        <v>303</v>
      </c>
      <c r="B987" s="55" t="s">
        <v>622</v>
      </c>
      <c r="C987" s="55" t="s">
        <v>623</v>
      </c>
      <c r="D987" s="56" t="s">
        <v>23</v>
      </c>
      <c r="E987" s="106">
        <v>2.9</v>
      </c>
      <c r="F987" s="107"/>
    </row>
    <row r="988" spans="1:6" s="27" customFormat="1" x14ac:dyDescent="0.4">
      <c r="A988" s="57"/>
      <c r="B988" s="58"/>
      <c r="C988" s="59" t="s">
        <v>11</v>
      </c>
      <c r="D988" s="58" t="s">
        <v>12</v>
      </c>
      <c r="E988" s="60">
        <v>4.8499999999999996</v>
      </c>
      <c r="F988" s="60">
        <v>14.065</v>
      </c>
    </row>
    <row r="989" spans="1:6" s="27" customFormat="1" x14ac:dyDescent="0.4">
      <c r="A989" s="61"/>
      <c r="B989" s="62"/>
      <c r="C989" s="63" t="s">
        <v>141</v>
      </c>
      <c r="D989" s="62" t="s">
        <v>13</v>
      </c>
      <c r="E989" s="75">
        <v>23</v>
      </c>
      <c r="F989" s="64">
        <v>66.7</v>
      </c>
    </row>
    <row r="990" spans="1:6" s="27" customFormat="1" x14ac:dyDescent="0.4">
      <c r="A990" s="65"/>
      <c r="B990" s="66"/>
      <c r="C990" s="67" t="s">
        <v>601</v>
      </c>
      <c r="D990" s="66" t="s">
        <v>13</v>
      </c>
      <c r="E990" s="68">
        <v>0.1</v>
      </c>
      <c r="F990" s="68">
        <v>0.28999999999999998</v>
      </c>
    </row>
    <row r="991" spans="1:6" s="27" customFormat="1" x14ac:dyDescent="0.4">
      <c r="A991" s="65"/>
      <c r="B991" s="66"/>
      <c r="C991" s="67" t="s">
        <v>107</v>
      </c>
      <c r="D991" s="66" t="s">
        <v>13</v>
      </c>
      <c r="E991" s="68">
        <v>0.21</v>
      </c>
      <c r="F991" s="68">
        <v>0.60899999999999999</v>
      </c>
    </row>
    <row r="992" spans="1:6" s="27" customFormat="1" x14ac:dyDescent="0.4">
      <c r="A992" s="65"/>
      <c r="B992" s="66"/>
      <c r="C992" s="67" t="s">
        <v>19</v>
      </c>
      <c r="D992" s="66" t="s">
        <v>13</v>
      </c>
      <c r="E992" s="68">
        <v>0.52</v>
      </c>
      <c r="F992" s="68">
        <v>1.508</v>
      </c>
    </row>
    <row r="993" spans="1:6" s="27" customFormat="1" x14ac:dyDescent="0.4">
      <c r="A993" s="69"/>
      <c r="B993" s="70"/>
      <c r="C993" s="71" t="s">
        <v>548</v>
      </c>
      <c r="D993" s="70" t="s">
        <v>23</v>
      </c>
      <c r="E993" s="72">
        <v>1.0149999999999999</v>
      </c>
      <c r="F993" s="72">
        <v>2.9434999999999998</v>
      </c>
    </row>
    <row r="994" spans="1:6" s="27" customFormat="1" x14ac:dyDescent="0.4">
      <c r="A994" s="76"/>
      <c r="B994" s="77"/>
      <c r="C994" s="78" t="s">
        <v>108</v>
      </c>
      <c r="D994" s="77" t="s">
        <v>14</v>
      </c>
      <c r="E994" s="79">
        <v>1.21E-2</v>
      </c>
      <c r="F994" s="79">
        <v>3.5090000000000003E-2</v>
      </c>
    </row>
    <row r="995" spans="1:6" s="27" customFormat="1" x14ac:dyDescent="0.4">
      <c r="A995" s="76"/>
      <c r="B995" s="77"/>
      <c r="C995" s="78" t="s">
        <v>624</v>
      </c>
      <c r="D995" s="77" t="s">
        <v>76</v>
      </c>
      <c r="E995" s="79">
        <v>0.3</v>
      </c>
      <c r="F995" s="79">
        <v>0.87</v>
      </c>
    </row>
    <row r="996" spans="1:6" s="27" customFormat="1" x14ac:dyDescent="0.4">
      <c r="A996" s="76"/>
      <c r="B996" s="77"/>
      <c r="C996" s="78" t="s">
        <v>504</v>
      </c>
      <c r="D996" s="77" t="s">
        <v>21</v>
      </c>
      <c r="E996" s="79">
        <v>0.23</v>
      </c>
      <c r="F996" s="79">
        <v>0.66700000000000004</v>
      </c>
    </row>
    <row r="997" spans="1:6" s="27" customFormat="1" ht="23.25" x14ac:dyDescent="0.4">
      <c r="A997" s="54" t="s">
        <v>304</v>
      </c>
      <c r="B997" s="55" t="s">
        <v>34</v>
      </c>
      <c r="C997" s="55" t="s">
        <v>625</v>
      </c>
      <c r="D997" s="56" t="s">
        <v>14</v>
      </c>
      <c r="E997" s="104">
        <v>0.104</v>
      </c>
      <c r="F997" s="105"/>
    </row>
    <row r="998" spans="1:6" s="27" customFormat="1" ht="23.25" x14ac:dyDescent="0.4">
      <c r="A998" s="54" t="s">
        <v>305</v>
      </c>
      <c r="B998" s="55" t="s">
        <v>872</v>
      </c>
      <c r="C998" s="55" t="s">
        <v>873</v>
      </c>
      <c r="D998" s="56" t="s">
        <v>508</v>
      </c>
      <c r="E998" s="106">
        <v>1.9</v>
      </c>
      <c r="F998" s="107"/>
    </row>
    <row r="999" spans="1:6" s="27" customFormat="1" x14ac:dyDescent="0.4">
      <c r="A999" s="57"/>
      <c r="B999" s="58"/>
      <c r="C999" s="59" t="s">
        <v>11</v>
      </c>
      <c r="D999" s="58" t="s">
        <v>12</v>
      </c>
      <c r="E999" s="60">
        <v>323.01</v>
      </c>
      <c r="F999" s="60">
        <v>613.71900000000005</v>
      </c>
    </row>
    <row r="1000" spans="1:6" s="27" customFormat="1" x14ac:dyDescent="0.4">
      <c r="A1000" s="61"/>
      <c r="B1000" s="62"/>
      <c r="C1000" s="63" t="s">
        <v>539</v>
      </c>
      <c r="D1000" s="62" t="s">
        <v>13</v>
      </c>
      <c r="E1000" s="64">
        <v>1.32</v>
      </c>
      <c r="F1000" s="64">
        <v>2.508</v>
      </c>
    </row>
    <row r="1001" spans="1:6" s="27" customFormat="1" x14ac:dyDescent="0.4">
      <c r="A1001" s="65"/>
      <c r="B1001" s="66"/>
      <c r="C1001" s="67" t="s">
        <v>19</v>
      </c>
      <c r="D1001" s="66" t="s">
        <v>13</v>
      </c>
      <c r="E1001" s="68">
        <v>0.36</v>
      </c>
      <c r="F1001" s="68">
        <v>0.68400000000000005</v>
      </c>
    </row>
    <row r="1002" spans="1:6" s="27" customFormat="1" x14ac:dyDescent="0.4">
      <c r="A1002" s="69"/>
      <c r="B1002" s="70"/>
      <c r="C1002" s="71" t="s">
        <v>670</v>
      </c>
      <c r="D1002" s="70" t="s">
        <v>23</v>
      </c>
      <c r="E1002" s="72">
        <v>3.06</v>
      </c>
      <c r="F1002" s="72">
        <v>5.8140000000000001</v>
      </c>
    </row>
    <row r="1003" spans="1:6" s="27" customFormat="1" x14ac:dyDescent="0.4">
      <c r="A1003" s="76"/>
      <c r="B1003" s="77"/>
      <c r="C1003" s="78" t="s">
        <v>720</v>
      </c>
      <c r="D1003" s="77" t="s">
        <v>23</v>
      </c>
      <c r="E1003" s="79">
        <v>2.7</v>
      </c>
      <c r="F1003" s="79">
        <v>5.13</v>
      </c>
    </row>
    <row r="1004" spans="1:6" s="27" customFormat="1" x14ac:dyDescent="0.4">
      <c r="A1004" s="76"/>
      <c r="B1004" s="77"/>
      <c r="C1004" s="78" t="s">
        <v>874</v>
      </c>
      <c r="D1004" s="77" t="s">
        <v>21</v>
      </c>
      <c r="E1004" s="80">
        <v>100</v>
      </c>
      <c r="F1004" s="80">
        <v>190</v>
      </c>
    </row>
    <row r="1005" spans="1:6" s="27" customFormat="1" x14ac:dyDescent="0.4">
      <c r="A1005" s="51"/>
      <c r="B1005" s="52"/>
      <c r="C1005" s="110" t="s">
        <v>610</v>
      </c>
      <c r="D1005" s="110"/>
      <c r="E1005" s="52"/>
      <c r="F1005" s="53"/>
    </row>
    <row r="1006" spans="1:6" s="27" customFormat="1" ht="46.5" x14ac:dyDescent="0.4">
      <c r="A1006" s="54" t="s">
        <v>306</v>
      </c>
      <c r="B1006" s="55" t="s">
        <v>615</v>
      </c>
      <c r="C1006" s="55" t="s">
        <v>616</v>
      </c>
      <c r="D1006" s="56" t="s">
        <v>538</v>
      </c>
      <c r="E1006" s="106">
        <v>0.30980000000000002</v>
      </c>
      <c r="F1006" s="107"/>
    </row>
    <row r="1007" spans="1:6" s="27" customFormat="1" x14ac:dyDescent="0.4">
      <c r="A1007" s="57"/>
      <c r="B1007" s="58"/>
      <c r="C1007" s="59" t="s">
        <v>11</v>
      </c>
      <c r="D1007" s="58" t="s">
        <v>12</v>
      </c>
      <c r="E1007" s="60">
        <v>1805.5</v>
      </c>
      <c r="F1007" s="60">
        <v>559.34389999999996</v>
      </c>
    </row>
    <row r="1008" spans="1:6" s="27" customFormat="1" x14ac:dyDescent="0.4">
      <c r="A1008" s="61"/>
      <c r="B1008" s="62"/>
      <c r="C1008" s="63" t="s">
        <v>141</v>
      </c>
      <c r="D1008" s="62" t="s">
        <v>13</v>
      </c>
      <c r="E1008" s="64">
        <v>24.99</v>
      </c>
      <c r="F1008" s="64">
        <v>7.7419000000000002</v>
      </c>
    </row>
    <row r="1009" spans="1:6" s="27" customFormat="1" x14ac:dyDescent="0.4">
      <c r="A1009" s="65"/>
      <c r="B1009" s="66"/>
      <c r="C1009" s="67" t="s">
        <v>18</v>
      </c>
      <c r="D1009" s="66" t="s">
        <v>13</v>
      </c>
      <c r="E1009" s="68">
        <v>11.55</v>
      </c>
      <c r="F1009" s="68">
        <v>3.5781999999999998</v>
      </c>
    </row>
    <row r="1010" spans="1:6" s="27" customFormat="1" x14ac:dyDescent="0.4">
      <c r="A1010" s="65"/>
      <c r="B1010" s="66"/>
      <c r="C1010" s="67" t="s">
        <v>540</v>
      </c>
      <c r="D1010" s="66" t="s">
        <v>13</v>
      </c>
      <c r="E1010" s="68">
        <v>2.13</v>
      </c>
      <c r="F1010" s="68">
        <v>0.65987399999999996</v>
      </c>
    </row>
    <row r="1011" spans="1:6" s="27" customFormat="1" x14ac:dyDescent="0.4">
      <c r="A1011" s="65"/>
      <c r="B1011" s="66"/>
      <c r="C1011" s="67" t="s">
        <v>107</v>
      </c>
      <c r="D1011" s="66" t="s">
        <v>13</v>
      </c>
      <c r="E1011" s="68">
        <v>95.2</v>
      </c>
      <c r="F1011" s="68">
        <v>29.492999999999999</v>
      </c>
    </row>
    <row r="1012" spans="1:6" s="27" customFormat="1" x14ac:dyDescent="0.4">
      <c r="A1012" s="65"/>
      <c r="B1012" s="66"/>
      <c r="C1012" s="67" t="s">
        <v>19</v>
      </c>
      <c r="D1012" s="66" t="s">
        <v>13</v>
      </c>
      <c r="E1012" s="68">
        <v>17.329999999999998</v>
      </c>
      <c r="F1012" s="68">
        <v>5.3688000000000002</v>
      </c>
    </row>
    <row r="1013" spans="1:6" s="27" customFormat="1" x14ac:dyDescent="0.4">
      <c r="A1013" s="69"/>
      <c r="B1013" s="70"/>
      <c r="C1013" s="71" t="s">
        <v>617</v>
      </c>
      <c r="D1013" s="70" t="s">
        <v>23</v>
      </c>
      <c r="E1013" s="73">
        <v>104</v>
      </c>
      <c r="F1013" s="72">
        <v>32.219200000000001</v>
      </c>
    </row>
    <row r="1014" spans="1:6" s="27" customFormat="1" x14ac:dyDescent="0.4">
      <c r="A1014" s="76"/>
      <c r="B1014" s="77"/>
      <c r="C1014" s="78" t="s">
        <v>618</v>
      </c>
      <c r="D1014" s="77" t="s">
        <v>23</v>
      </c>
      <c r="E1014" s="79">
        <v>3.39</v>
      </c>
      <c r="F1014" s="79">
        <v>1.0502</v>
      </c>
    </row>
    <row r="1015" spans="1:6" s="27" customFormat="1" x14ac:dyDescent="0.4">
      <c r="A1015" s="76"/>
      <c r="B1015" s="77"/>
      <c r="C1015" s="78" t="s">
        <v>20</v>
      </c>
      <c r="D1015" s="77" t="s">
        <v>14</v>
      </c>
      <c r="E1015" s="79">
        <v>0.105</v>
      </c>
      <c r="F1015" s="79">
        <v>3.2529000000000002E-2</v>
      </c>
    </row>
    <row r="1016" spans="1:6" s="27" customFormat="1" ht="34.9" x14ac:dyDescent="0.4">
      <c r="A1016" s="76"/>
      <c r="B1016" s="77"/>
      <c r="C1016" s="78" t="s">
        <v>619</v>
      </c>
      <c r="D1016" s="77" t="s">
        <v>14</v>
      </c>
      <c r="E1016" s="79">
        <v>0.25</v>
      </c>
      <c r="F1016" s="79">
        <v>7.7450000000000005E-2</v>
      </c>
    </row>
    <row r="1017" spans="1:6" s="27" customFormat="1" x14ac:dyDescent="0.4">
      <c r="A1017" s="76"/>
      <c r="B1017" s="77"/>
      <c r="C1017" s="78" t="s">
        <v>567</v>
      </c>
      <c r="D1017" s="77" t="s">
        <v>14</v>
      </c>
      <c r="E1017" s="79">
        <v>0.16</v>
      </c>
      <c r="F1017" s="79">
        <v>4.9568000000000001E-2</v>
      </c>
    </row>
    <row r="1018" spans="1:6" s="27" customFormat="1" ht="23.25" x14ac:dyDescent="0.4">
      <c r="A1018" s="76"/>
      <c r="B1018" s="77"/>
      <c r="C1018" s="78" t="s">
        <v>620</v>
      </c>
      <c r="D1018" s="77" t="s">
        <v>23</v>
      </c>
      <c r="E1018" s="79">
        <v>3.33</v>
      </c>
      <c r="F1018" s="79">
        <v>1.0316000000000001</v>
      </c>
    </row>
    <row r="1019" spans="1:6" s="27" customFormat="1" ht="23.25" x14ac:dyDescent="0.4">
      <c r="A1019" s="76"/>
      <c r="B1019" s="77"/>
      <c r="C1019" s="78" t="s">
        <v>549</v>
      </c>
      <c r="D1019" s="77" t="s">
        <v>23</v>
      </c>
      <c r="E1019" s="79">
        <v>1.98</v>
      </c>
      <c r="F1019" s="79">
        <v>0.61340399999999995</v>
      </c>
    </row>
    <row r="1020" spans="1:6" s="27" customFormat="1" x14ac:dyDescent="0.4">
      <c r="A1020" s="76"/>
      <c r="B1020" s="77"/>
      <c r="C1020" s="78" t="s">
        <v>550</v>
      </c>
      <c r="D1020" s="77" t="s">
        <v>21</v>
      </c>
      <c r="E1020" s="80">
        <v>20</v>
      </c>
      <c r="F1020" s="79">
        <v>6.1959999999999997</v>
      </c>
    </row>
    <row r="1021" spans="1:6" s="27" customFormat="1" ht="23.25" x14ac:dyDescent="0.4">
      <c r="A1021" s="54" t="s">
        <v>307</v>
      </c>
      <c r="B1021" s="55" t="s">
        <v>34</v>
      </c>
      <c r="C1021" s="55" t="s">
        <v>558</v>
      </c>
      <c r="D1021" s="56" t="s">
        <v>14</v>
      </c>
      <c r="E1021" s="104">
        <v>1.2250000000000001</v>
      </c>
      <c r="F1021" s="105"/>
    </row>
    <row r="1022" spans="1:6" s="27" customFormat="1" ht="23.25" x14ac:dyDescent="0.4">
      <c r="A1022" s="54" t="s">
        <v>308</v>
      </c>
      <c r="B1022" s="55" t="s">
        <v>34</v>
      </c>
      <c r="C1022" s="55" t="s">
        <v>564</v>
      </c>
      <c r="D1022" s="56" t="s">
        <v>14</v>
      </c>
      <c r="E1022" s="104">
        <v>6.17</v>
      </c>
      <c r="F1022" s="105"/>
    </row>
    <row r="1023" spans="1:6" s="27" customFormat="1" ht="23.25" x14ac:dyDescent="0.4">
      <c r="A1023" s="54" t="s">
        <v>310</v>
      </c>
      <c r="B1023" s="55" t="s">
        <v>34</v>
      </c>
      <c r="C1023" s="55" t="s">
        <v>517</v>
      </c>
      <c r="D1023" s="56" t="s">
        <v>14</v>
      </c>
      <c r="E1023" s="104">
        <v>4.484</v>
      </c>
      <c r="F1023" s="105"/>
    </row>
    <row r="1024" spans="1:6" s="27" customFormat="1" x14ac:dyDescent="0.4">
      <c r="A1024" s="51"/>
      <c r="B1024" s="52"/>
      <c r="C1024" s="110" t="s">
        <v>631</v>
      </c>
      <c r="D1024" s="110"/>
      <c r="E1024" s="52"/>
      <c r="F1024" s="53"/>
    </row>
    <row r="1025" spans="1:6" s="27" customFormat="1" ht="58.15" x14ac:dyDescent="0.4">
      <c r="A1025" s="54" t="s">
        <v>311</v>
      </c>
      <c r="B1025" s="55" t="s">
        <v>639</v>
      </c>
      <c r="C1025" s="55" t="s">
        <v>875</v>
      </c>
      <c r="D1025" s="56" t="s">
        <v>640</v>
      </c>
      <c r="E1025" s="106">
        <v>3.992</v>
      </c>
      <c r="F1025" s="107"/>
    </row>
    <row r="1026" spans="1:6" s="27" customFormat="1" x14ac:dyDescent="0.4">
      <c r="A1026" s="57"/>
      <c r="B1026" s="58"/>
      <c r="C1026" s="59" t="s">
        <v>11</v>
      </c>
      <c r="D1026" s="58" t="s">
        <v>12</v>
      </c>
      <c r="E1026" s="60">
        <v>22.5</v>
      </c>
      <c r="F1026" s="60">
        <v>89.82</v>
      </c>
    </row>
    <row r="1027" spans="1:6" s="27" customFormat="1" x14ac:dyDescent="0.4">
      <c r="A1027" s="61"/>
      <c r="B1027" s="62"/>
      <c r="C1027" s="63" t="s">
        <v>25</v>
      </c>
      <c r="D1027" s="62" t="s">
        <v>13</v>
      </c>
      <c r="E1027" s="64">
        <v>0.23</v>
      </c>
      <c r="F1027" s="64">
        <v>0.91815999999999998</v>
      </c>
    </row>
    <row r="1028" spans="1:6" s="27" customFormat="1" x14ac:dyDescent="0.4">
      <c r="A1028" s="65"/>
      <c r="B1028" s="66"/>
      <c r="C1028" s="67" t="s">
        <v>641</v>
      </c>
      <c r="D1028" s="66" t="s">
        <v>13</v>
      </c>
      <c r="E1028" s="68">
        <v>0.33</v>
      </c>
      <c r="F1028" s="68">
        <v>1.3173999999999999</v>
      </c>
    </row>
    <row r="1029" spans="1:6" s="27" customFormat="1" x14ac:dyDescent="0.4">
      <c r="A1029" s="65"/>
      <c r="B1029" s="66"/>
      <c r="C1029" s="67" t="s">
        <v>19</v>
      </c>
      <c r="D1029" s="66" t="s">
        <v>13</v>
      </c>
      <c r="E1029" s="68">
        <v>0.36</v>
      </c>
      <c r="F1029" s="68">
        <v>1.4371</v>
      </c>
    </row>
    <row r="1030" spans="1:6" s="27" customFormat="1" x14ac:dyDescent="0.4">
      <c r="A1030" s="69"/>
      <c r="B1030" s="70"/>
      <c r="C1030" s="71" t="s">
        <v>26</v>
      </c>
      <c r="D1030" s="70" t="s">
        <v>14</v>
      </c>
      <c r="E1030" s="72">
        <v>7.4999999999999997E-3</v>
      </c>
      <c r="F1030" s="72">
        <v>2.9940000000000001E-2</v>
      </c>
    </row>
    <row r="1031" spans="1:6" s="27" customFormat="1" x14ac:dyDescent="0.4">
      <c r="A1031" s="76"/>
      <c r="B1031" s="77"/>
      <c r="C1031" s="78" t="s">
        <v>20</v>
      </c>
      <c r="D1031" s="77" t="s">
        <v>14</v>
      </c>
      <c r="E1031" s="79">
        <v>3.0000000000000001E-3</v>
      </c>
      <c r="F1031" s="79">
        <v>1.1976000000000001E-2</v>
      </c>
    </row>
    <row r="1032" spans="1:6" s="27" customFormat="1" x14ac:dyDescent="0.4">
      <c r="A1032" s="76"/>
      <c r="B1032" s="77"/>
      <c r="C1032" s="78" t="s">
        <v>642</v>
      </c>
      <c r="D1032" s="77" t="s">
        <v>23</v>
      </c>
      <c r="E1032" s="79">
        <v>0.93</v>
      </c>
      <c r="F1032" s="79">
        <v>3.7126000000000001</v>
      </c>
    </row>
    <row r="1033" spans="1:6" s="27" customFormat="1" ht="23.25" x14ac:dyDescent="0.4">
      <c r="A1033" s="76"/>
      <c r="B1033" s="77"/>
      <c r="C1033" s="78" t="s">
        <v>643</v>
      </c>
      <c r="D1033" s="77" t="s">
        <v>23</v>
      </c>
      <c r="E1033" s="79">
        <v>0.12</v>
      </c>
      <c r="F1033" s="79">
        <v>0.47904000000000002</v>
      </c>
    </row>
    <row r="1034" spans="1:6" s="27" customFormat="1" x14ac:dyDescent="0.4">
      <c r="A1034" s="76"/>
      <c r="B1034" s="77"/>
      <c r="C1034" s="78" t="s">
        <v>644</v>
      </c>
      <c r="D1034" s="77" t="s">
        <v>23</v>
      </c>
      <c r="E1034" s="79">
        <v>0.01</v>
      </c>
      <c r="F1034" s="79">
        <v>3.9919999999999997E-2</v>
      </c>
    </row>
    <row r="1035" spans="1:6" s="27" customFormat="1" x14ac:dyDescent="0.4">
      <c r="A1035" s="76"/>
      <c r="B1035" s="77"/>
      <c r="C1035" s="78" t="s">
        <v>645</v>
      </c>
      <c r="D1035" s="77" t="s">
        <v>14</v>
      </c>
      <c r="E1035" s="79">
        <v>3.0100000000000001E-3</v>
      </c>
      <c r="F1035" s="79">
        <v>1.2016000000000001E-2</v>
      </c>
    </row>
    <row r="1036" spans="1:6" s="27" customFormat="1" ht="58.15" x14ac:dyDescent="0.4">
      <c r="A1036" s="54" t="s">
        <v>312</v>
      </c>
      <c r="B1036" s="55" t="s">
        <v>646</v>
      </c>
      <c r="C1036" s="55" t="s">
        <v>647</v>
      </c>
      <c r="D1036" s="56" t="s">
        <v>640</v>
      </c>
      <c r="E1036" s="106">
        <v>5.0999999999999996</v>
      </c>
      <c r="F1036" s="107"/>
    </row>
    <row r="1037" spans="1:6" s="27" customFormat="1" x14ac:dyDescent="0.4">
      <c r="A1037" s="57"/>
      <c r="B1037" s="58"/>
      <c r="C1037" s="59" t="s">
        <v>11</v>
      </c>
      <c r="D1037" s="58" t="s">
        <v>12</v>
      </c>
      <c r="E1037" s="60">
        <v>24.09</v>
      </c>
      <c r="F1037" s="60">
        <v>122.85899999999999</v>
      </c>
    </row>
    <row r="1038" spans="1:6" s="27" customFormat="1" x14ac:dyDescent="0.4">
      <c r="A1038" s="61"/>
      <c r="B1038" s="62"/>
      <c r="C1038" s="63" t="s">
        <v>18</v>
      </c>
      <c r="D1038" s="62" t="s">
        <v>13</v>
      </c>
      <c r="E1038" s="64">
        <v>0.15</v>
      </c>
      <c r="F1038" s="64">
        <v>0.76500000000000001</v>
      </c>
    </row>
    <row r="1039" spans="1:6" s="27" customFormat="1" x14ac:dyDescent="0.4">
      <c r="A1039" s="65"/>
      <c r="B1039" s="66"/>
      <c r="C1039" s="67" t="s">
        <v>641</v>
      </c>
      <c r="D1039" s="66" t="s">
        <v>13</v>
      </c>
      <c r="E1039" s="68">
        <v>0.44</v>
      </c>
      <c r="F1039" s="68">
        <v>2.2440000000000002</v>
      </c>
    </row>
    <row r="1040" spans="1:6" s="27" customFormat="1" x14ac:dyDescent="0.4">
      <c r="A1040" s="65"/>
      <c r="B1040" s="66"/>
      <c r="C1040" s="67" t="s">
        <v>19</v>
      </c>
      <c r="D1040" s="66" t="s">
        <v>13</v>
      </c>
      <c r="E1040" s="68">
        <v>0.22</v>
      </c>
      <c r="F1040" s="68">
        <v>1.1220000000000001</v>
      </c>
    </row>
    <row r="1041" spans="1:6" s="27" customFormat="1" x14ac:dyDescent="0.4">
      <c r="A1041" s="69"/>
      <c r="B1041" s="70"/>
      <c r="C1041" s="71" t="s">
        <v>20</v>
      </c>
      <c r="D1041" s="70" t="s">
        <v>14</v>
      </c>
      <c r="E1041" s="72">
        <v>7.1999999999999998E-3</v>
      </c>
      <c r="F1041" s="72">
        <v>3.6720000000000003E-2</v>
      </c>
    </row>
    <row r="1042" spans="1:6" s="27" customFormat="1" x14ac:dyDescent="0.4">
      <c r="A1042" s="76"/>
      <c r="B1042" s="77"/>
      <c r="C1042" s="78" t="s">
        <v>22</v>
      </c>
      <c r="D1042" s="77" t="s">
        <v>14</v>
      </c>
      <c r="E1042" s="79">
        <v>4.3800000000000002E-3</v>
      </c>
      <c r="F1042" s="79">
        <v>2.2338E-2</v>
      </c>
    </row>
    <row r="1043" spans="1:6" s="27" customFormat="1" x14ac:dyDescent="0.4">
      <c r="A1043" s="76"/>
      <c r="B1043" s="77"/>
      <c r="C1043" s="78" t="s">
        <v>648</v>
      </c>
      <c r="D1043" s="77" t="s">
        <v>23</v>
      </c>
      <c r="E1043" s="79">
        <v>0.16</v>
      </c>
      <c r="F1043" s="79">
        <v>0.81599999999999995</v>
      </c>
    </row>
    <row r="1044" spans="1:6" s="27" customFormat="1" x14ac:dyDescent="0.4">
      <c r="A1044" s="76"/>
      <c r="B1044" s="77"/>
      <c r="C1044" s="78" t="s">
        <v>642</v>
      </c>
      <c r="D1044" s="77" t="s">
        <v>23</v>
      </c>
      <c r="E1044" s="79">
        <v>0.06</v>
      </c>
      <c r="F1044" s="79">
        <v>0.30599999999999999</v>
      </c>
    </row>
    <row r="1045" spans="1:6" s="27" customFormat="1" ht="23.25" x14ac:dyDescent="0.4">
      <c r="A1045" s="76"/>
      <c r="B1045" s="77"/>
      <c r="C1045" s="78" t="s">
        <v>649</v>
      </c>
      <c r="D1045" s="77" t="s">
        <v>23</v>
      </c>
      <c r="E1045" s="79">
        <v>0.83</v>
      </c>
      <c r="F1045" s="79">
        <v>4.2329999999999997</v>
      </c>
    </row>
    <row r="1046" spans="1:6" s="27" customFormat="1" x14ac:dyDescent="0.4">
      <c r="A1046" s="76"/>
      <c r="B1046" s="77"/>
      <c r="C1046" s="78" t="s">
        <v>645</v>
      </c>
      <c r="D1046" s="77" t="s">
        <v>14</v>
      </c>
      <c r="E1046" s="79">
        <v>1.9599999999999999E-3</v>
      </c>
      <c r="F1046" s="79">
        <v>9.9959999999999997E-3</v>
      </c>
    </row>
    <row r="1047" spans="1:6" s="27" customFormat="1" ht="58.15" x14ac:dyDescent="0.4">
      <c r="A1047" s="54" t="s">
        <v>316</v>
      </c>
      <c r="B1047" s="55" t="s">
        <v>639</v>
      </c>
      <c r="C1047" s="55" t="s">
        <v>876</v>
      </c>
      <c r="D1047" s="56" t="s">
        <v>640</v>
      </c>
      <c r="E1047" s="106">
        <v>3.2</v>
      </c>
      <c r="F1047" s="107"/>
    </row>
    <row r="1048" spans="1:6" s="27" customFormat="1" x14ac:dyDescent="0.4">
      <c r="A1048" s="57"/>
      <c r="B1048" s="58"/>
      <c r="C1048" s="59" t="s">
        <v>11</v>
      </c>
      <c r="D1048" s="58" t="s">
        <v>12</v>
      </c>
      <c r="E1048" s="60">
        <v>22.5</v>
      </c>
      <c r="F1048" s="74">
        <v>72</v>
      </c>
    </row>
    <row r="1049" spans="1:6" s="27" customFormat="1" x14ac:dyDescent="0.4">
      <c r="A1049" s="61"/>
      <c r="B1049" s="62"/>
      <c r="C1049" s="63" t="s">
        <v>25</v>
      </c>
      <c r="D1049" s="62" t="s">
        <v>13</v>
      </c>
      <c r="E1049" s="64">
        <v>0.23</v>
      </c>
      <c r="F1049" s="64">
        <v>0.73599999999999999</v>
      </c>
    </row>
    <row r="1050" spans="1:6" s="27" customFormat="1" x14ac:dyDescent="0.4">
      <c r="A1050" s="65"/>
      <c r="B1050" s="66"/>
      <c r="C1050" s="67" t="s">
        <v>641</v>
      </c>
      <c r="D1050" s="66" t="s">
        <v>13</v>
      </c>
      <c r="E1050" s="68">
        <v>0.33</v>
      </c>
      <c r="F1050" s="68">
        <v>1.056</v>
      </c>
    </row>
    <row r="1051" spans="1:6" s="27" customFormat="1" x14ac:dyDescent="0.4">
      <c r="A1051" s="65"/>
      <c r="B1051" s="66"/>
      <c r="C1051" s="67" t="s">
        <v>19</v>
      </c>
      <c r="D1051" s="66" t="s">
        <v>13</v>
      </c>
      <c r="E1051" s="68">
        <v>0.36</v>
      </c>
      <c r="F1051" s="68">
        <v>1.1519999999999999</v>
      </c>
    </row>
    <row r="1052" spans="1:6" s="27" customFormat="1" x14ac:dyDescent="0.4">
      <c r="A1052" s="69"/>
      <c r="B1052" s="70"/>
      <c r="C1052" s="71" t="s">
        <v>26</v>
      </c>
      <c r="D1052" s="70" t="s">
        <v>14</v>
      </c>
      <c r="E1052" s="72">
        <v>7.4999999999999997E-3</v>
      </c>
      <c r="F1052" s="72">
        <v>2.4E-2</v>
      </c>
    </row>
    <row r="1053" spans="1:6" s="27" customFormat="1" x14ac:dyDescent="0.4">
      <c r="A1053" s="76"/>
      <c r="B1053" s="77"/>
      <c r="C1053" s="78" t="s">
        <v>20</v>
      </c>
      <c r="D1053" s="77" t="s">
        <v>14</v>
      </c>
      <c r="E1053" s="79">
        <v>3.0000000000000001E-3</v>
      </c>
      <c r="F1053" s="79">
        <v>9.5999999999999992E-3</v>
      </c>
    </row>
    <row r="1054" spans="1:6" s="27" customFormat="1" x14ac:dyDescent="0.4">
      <c r="A1054" s="76"/>
      <c r="B1054" s="77"/>
      <c r="C1054" s="78" t="s">
        <v>642</v>
      </c>
      <c r="D1054" s="77" t="s">
        <v>23</v>
      </c>
      <c r="E1054" s="79">
        <v>0.93</v>
      </c>
      <c r="F1054" s="79">
        <v>2.976</v>
      </c>
    </row>
    <row r="1055" spans="1:6" s="27" customFormat="1" ht="23.25" x14ac:dyDescent="0.4">
      <c r="A1055" s="76"/>
      <c r="B1055" s="77"/>
      <c r="C1055" s="78" t="s">
        <v>643</v>
      </c>
      <c r="D1055" s="77" t="s">
        <v>23</v>
      </c>
      <c r="E1055" s="79">
        <v>0.12</v>
      </c>
      <c r="F1055" s="79">
        <v>0.38400000000000001</v>
      </c>
    </row>
    <row r="1056" spans="1:6" s="27" customFormat="1" x14ac:dyDescent="0.4">
      <c r="A1056" s="76"/>
      <c r="B1056" s="77"/>
      <c r="C1056" s="78" t="s">
        <v>644</v>
      </c>
      <c r="D1056" s="77" t="s">
        <v>23</v>
      </c>
      <c r="E1056" s="79">
        <v>0.01</v>
      </c>
      <c r="F1056" s="79">
        <v>3.2000000000000001E-2</v>
      </c>
    </row>
    <row r="1057" spans="1:6" s="27" customFormat="1" x14ac:dyDescent="0.4">
      <c r="A1057" s="76"/>
      <c r="B1057" s="77"/>
      <c r="C1057" s="78" t="s">
        <v>645</v>
      </c>
      <c r="D1057" s="77" t="s">
        <v>14</v>
      </c>
      <c r="E1057" s="79">
        <v>3.0100000000000001E-3</v>
      </c>
      <c r="F1057" s="79">
        <v>9.6319999999999999E-3</v>
      </c>
    </row>
    <row r="1058" spans="1:6" s="27" customFormat="1" ht="34.9" x14ac:dyDescent="0.4">
      <c r="A1058" s="54" t="s">
        <v>317</v>
      </c>
      <c r="B1058" s="55" t="s">
        <v>650</v>
      </c>
      <c r="C1058" s="55" t="s">
        <v>877</v>
      </c>
      <c r="D1058" s="56" t="s">
        <v>651</v>
      </c>
      <c r="E1058" s="106">
        <v>5.0999999999999996</v>
      </c>
      <c r="F1058" s="107"/>
    </row>
    <row r="1059" spans="1:6" s="27" customFormat="1" x14ac:dyDescent="0.4">
      <c r="A1059" s="57"/>
      <c r="B1059" s="58"/>
      <c r="C1059" s="59" t="s">
        <v>11</v>
      </c>
      <c r="D1059" s="58" t="s">
        <v>12</v>
      </c>
      <c r="E1059" s="60">
        <v>38.53</v>
      </c>
      <c r="F1059" s="60">
        <v>196.50299999999999</v>
      </c>
    </row>
    <row r="1060" spans="1:6" s="27" customFormat="1" x14ac:dyDescent="0.4">
      <c r="A1060" s="61"/>
      <c r="B1060" s="62"/>
      <c r="C1060" s="63" t="s">
        <v>25</v>
      </c>
      <c r="D1060" s="62" t="s">
        <v>13</v>
      </c>
      <c r="E1060" s="64">
        <v>2.41</v>
      </c>
      <c r="F1060" s="64">
        <v>12.291</v>
      </c>
    </row>
    <row r="1061" spans="1:6" s="27" customFormat="1" x14ac:dyDescent="0.4">
      <c r="A1061" s="65"/>
      <c r="B1061" s="66"/>
      <c r="C1061" s="67" t="s">
        <v>18</v>
      </c>
      <c r="D1061" s="66" t="s">
        <v>13</v>
      </c>
      <c r="E1061" s="68">
        <v>0.28999999999999998</v>
      </c>
      <c r="F1061" s="68">
        <v>1.4790000000000001</v>
      </c>
    </row>
    <row r="1062" spans="1:6" s="27" customFormat="1" x14ac:dyDescent="0.4">
      <c r="A1062" s="65"/>
      <c r="B1062" s="66"/>
      <c r="C1062" s="67" t="s">
        <v>19</v>
      </c>
      <c r="D1062" s="66" t="s">
        <v>13</v>
      </c>
      <c r="E1062" s="68">
        <v>0.4</v>
      </c>
      <c r="F1062" s="68">
        <v>2.04</v>
      </c>
    </row>
    <row r="1063" spans="1:6" s="27" customFormat="1" x14ac:dyDescent="0.4">
      <c r="A1063" s="69"/>
      <c r="B1063" s="70"/>
      <c r="C1063" s="71" t="s">
        <v>652</v>
      </c>
      <c r="D1063" s="70" t="s">
        <v>30</v>
      </c>
      <c r="E1063" s="73">
        <v>645</v>
      </c>
      <c r="F1063" s="72">
        <v>3289.5</v>
      </c>
    </row>
    <row r="1064" spans="1:6" s="27" customFormat="1" x14ac:dyDescent="0.4">
      <c r="A1064" s="76"/>
      <c r="B1064" s="77"/>
      <c r="C1064" s="78" t="s">
        <v>653</v>
      </c>
      <c r="D1064" s="77" t="s">
        <v>30</v>
      </c>
      <c r="E1064" s="80">
        <v>81</v>
      </c>
      <c r="F1064" s="79">
        <v>413.1</v>
      </c>
    </row>
    <row r="1065" spans="1:6" s="27" customFormat="1" ht="23.25" x14ac:dyDescent="0.4">
      <c r="A1065" s="76"/>
      <c r="B1065" s="77"/>
      <c r="C1065" s="78" t="s">
        <v>878</v>
      </c>
      <c r="D1065" s="77" t="s">
        <v>21</v>
      </c>
      <c r="E1065" s="80">
        <v>110</v>
      </c>
      <c r="F1065" s="80">
        <v>561</v>
      </c>
    </row>
    <row r="1066" spans="1:6" s="27" customFormat="1" ht="46.5" x14ac:dyDescent="0.4">
      <c r="A1066" s="54" t="s">
        <v>318</v>
      </c>
      <c r="B1066" s="55" t="s">
        <v>879</v>
      </c>
      <c r="C1066" s="55" t="s">
        <v>632</v>
      </c>
      <c r="D1066" s="56" t="s">
        <v>633</v>
      </c>
      <c r="E1066" s="106">
        <v>5.0999999999999996</v>
      </c>
      <c r="F1066" s="107"/>
    </row>
    <row r="1067" spans="1:6" s="27" customFormat="1" x14ac:dyDescent="0.4">
      <c r="A1067" s="57"/>
      <c r="B1067" s="58"/>
      <c r="C1067" s="59" t="s">
        <v>11</v>
      </c>
      <c r="D1067" s="58" t="s">
        <v>12</v>
      </c>
      <c r="E1067" s="60">
        <v>35.26</v>
      </c>
      <c r="F1067" s="60">
        <v>179.82599999999999</v>
      </c>
    </row>
    <row r="1068" spans="1:6" s="27" customFormat="1" x14ac:dyDescent="0.4">
      <c r="A1068" s="61"/>
      <c r="B1068" s="62"/>
      <c r="C1068" s="63" t="s">
        <v>18</v>
      </c>
      <c r="D1068" s="62" t="s">
        <v>13</v>
      </c>
      <c r="E1068" s="64">
        <v>0.55000000000000004</v>
      </c>
      <c r="F1068" s="64">
        <v>2.8050000000000002</v>
      </c>
    </row>
    <row r="1069" spans="1:6" s="27" customFormat="1" x14ac:dyDescent="0.4">
      <c r="A1069" s="65"/>
      <c r="B1069" s="66"/>
      <c r="C1069" s="67" t="s">
        <v>19</v>
      </c>
      <c r="D1069" s="66" t="s">
        <v>13</v>
      </c>
      <c r="E1069" s="68">
        <v>0.28000000000000003</v>
      </c>
      <c r="F1069" s="68">
        <v>1.4279999999999999</v>
      </c>
    </row>
    <row r="1070" spans="1:6" s="27" customFormat="1" x14ac:dyDescent="0.4">
      <c r="A1070" s="69"/>
      <c r="B1070" s="70"/>
      <c r="C1070" s="71" t="s">
        <v>634</v>
      </c>
      <c r="D1070" s="70" t="s">
        <v>23</v>
      </c>
      <c r="E1070" s="72">
        <v>5.0999999999999996</v>
      </c>
      <c r="F1070" s="72">
        <v>26.01</v>
      </c>
    </row>
    <row r="1071" spans="1:6" s="27" customFormat="1" x14ac:dyDescent="0.4">
      <c r="A1071" s="76"/>
      <c r="B1071" s="77"/>
      <c r="C1071" s="78" t="s">
        <v>635</v>
      </c>
      <c r="D1071" s="77" t="s">
        <v>21</v>
      </c>
      <c r="E1071" s="80">
        <v>103</v>
      </c>
      <c r="F1071" s="79">
        <v>525.29999999999995</v>
      </c>
    </row>
    <row r="1072" spans="1:6" s="27" customFormat="1" x14ac:dyDescent="0.4">
      <c r="A1072" s="76"/>
      <c r="B1072" s="77"/>
      <c r="C1072" s="78" t="s">
        <v>636</v>
      </c>
      <c r="D1072" s="77" t="s">
        <v>21</v>
      </c>
      <c r="E1072" s="80">
        <v>110</v>
      </c>
      <c r="F1072" s="80">
        <v>561</v>
      </c>
    </row>
    <row r="1073" spans="1:6" s="27" customFormat="1" x14ac:dyDescent="0.4">
      <c r="A1073" s="76"/>
      <c r="B1073" s="77"/>
      <c r="C1073" s="78" t="s">
        <v>637</v>
      </c>
      <c r="D1073" s="77" t="s">
        <v>21</v>
      </c>
      <c r="E1073" s="80">
        <v>110</v>
      </c>
      <c r="F1073" s="80">
        <v>561</v>
      </c>
    </row>
    <row r="1074" spans="1:6" s="27" customFormat="1" x14ac:dyDescent="0.4">
      <c r="A1074" s="76"/>
      <c r="B1074" s="77"/>
      <c r="C1074" s="78" t="s">
        <v>638</v>
      </c>
      <c r="D1074" s="77" t="s">
        <v>21</v>
      </c>
      <c r="E1074" s="80">
        <v>110</v>
      </c>
      <c r="F1074" s="80">
        <v>561</v>
      </c>
    </row>
    <row r="1075" spans="1:6" s="27" customFormat="1" x14ac:dyDescent="0.4">
      <c r="A1075" s="54" t="s">
        <v>319</v>
      </c>
      <c r="B1075" s="55" t="s">
        <v>34</v>
      </c>
      <c r="C1075" s="55" t="s">
        <v>880</v>
      </c>
      <c r="D1075" s="56" t="s">
        <v>31</v>
      </c>
      <c r="E1075" s="108">
        <v>60</v>
      </c>
      <c r="F1075" s="109"/>
    </row>
    <row r="1076" spans="1:6" s="27" customFormat="1" x14ac:dyDescent="0.4">
      <c r="A1076" s="54" t="s">
        <v>320</v>
      </c>
      <c r="B1076" s="55" t="s">
        <v>655</v>
      </c>
      <c r="C1076" s="55" t="s">
        <v>656</v>
      </c>
      <c r="D1076" s="56" t="s">
        <v>453</v>
      </c>
      <c r="E1076" s="106">
        <v>0.44</v>
      </c>
      <c r="F1076" s="107"/>
    </row>
    <row r="1077" spans="1:6" s="27" customFormat="1" x14ac:dyDescent="0.4">
      <c r="A1077" s="57"/>
      <c r="B1077" s="58"/>
      <c r="C1077" s="59" t="s">
        <v>11</v>
      </c>
      <c r="D1077" s="58" t="s">
        <v>12</v>
      </c>
      <c r="E1077" s="60">
        <v>31.41</v>
      </c>
      <c r="F1077" s="60">
        <v>13.820399999999999</v>
      </c>
    </row>
    <row r="1078" spans="1:6" s="27" customFormat="1" x14ac:dyDescent="0.4">
      <c r="A1078" s="61"/>
      <c r="B1078" s="62"/>
      <c r="C1078" s="63" t="s">
        <v>18</v>
      </c>
      <c r="D1078" s="62" t="s">
        <v>13</v>
      </c>
      <c r="E1078" s="64">
        <v>0.05</v>
      </c>
      <c r="F1078" s="64">
        <v>2.1999999999999999E-2</v>
      </c>
    </row>
    <row r="1079" spans="1:6" s="27" customFormat="1" x14ac:dyDescent="0.4">
      <c r="A1079" s="65"/>
      <c r="B1079" s="66"/>
      <c r="C1079" s="67" t="s">
        <v>19</v>
      </c>
      <c r="D1079" s="66" t="s">
        <v>13</v>
      </c>
      <c r="E1079" s="68">
        <v>0.09</v>
      </c>
      <c r="F1079" s="68">
        <v>3.9600000000000003E-2</v>
      </c>
    </row>
    <row r="1080" spans="1:6" s="27" customFormat="1" x14ac:dyDescent="0.4">
      <c r="A1080" s="69"/>
      <c r="B1080" s="70"/>
      <c r="C1080" s="71" t="s">
        <v>657</v>
      </c>
      <c r="D1080" s="70" t="s">
        <v>14</v>
      </c>
      <c r="E1080" s="72">
        <v>3.8E-3</v>
      </c>
      <c r="F1080" s="72">
        <v>1.6720000000000001E-3</v>
      </c>
    </row>
    <row r="1081" spans="1:6" s="27" customFormat="1" x14ac:dyDescent="0.4">
      <c r="A1081" s="76"/>
      <c r="B1081" s="77"/>
      <c r="C1081" s="78" t="s">
        <v>658</v>
      </c>
      <c r="D1081" s="77" t="s">
        <v>31</v>
      </c>
      <c r="E1081" s="80">
        <v>100</v>
      </c>
      <c r="F1081" s="80">
        <v>44</v>
      </c>
    </row>
    <row r="1082" spans="1:6" s="27" customFormat="1" ht="23.25" x14ac:dyDescent="0.4">
      <c r="A1082" s="54" t="s">
        <v>321</v>
      </c>
      <c r="B1082" s="55" t="s">
        <v>659</v>
      </c>
      <c r="C1082" s="55" t="s">
        <v>660</v>
      </c>
      <c r="D1082" s="56" t="s">
        <v>661</v>
      </c>
      <c r="E1082" s="106">
        <v>1.6</v>
      </c>
      <c r="F1082" s="107"/>
    </row>
    <row r="1083" spans="1:6" s="27" customFormat="1" x14ac:dyDescent="0.4">
      <c r="A1083" s="57"/>
      <c r="B1083" s="58"/>
      <c r="C1083" s="59" t="s">
        <v>11</v>
      </c>
      <c r="D1083" s="58" t="s">
        <v>12</v>
      </c>
      <c r="E1083" s="60">
        <v>38.4</v>
      </c>
      <c r="F1083" s="60">
        <v>61.44</v>
      </c>
    </row>
    <row r="1084" spans="1:6" s="27" customFormat="1" x14ac:dyDescent="0.4">
      <c r="A1084" s="61"/>
      <c r="B1084" s="62"/>
      <c r="C1084" s="63" t="s">
        <v>19</v>
      </c>
      <c r="D1084" s="62" t="s">
        <v>13</v>
      </c>
      <c r="E1084" s="64">
        <v>0.43</v>
      </c>
      <c r="F1084" s="64">
        <v>0.68799999999999994</v>
      </c>
    </row>
    <row r="1085" spans="1:6" s="27" customFormat="1" x14ac:dyDescent="0.4">
      <c r="A1085" s="69"/>
      <c r="B1085" s="70"/>
      <c r="C1085" s="71" t="s">
        <v>596</v>
      </c>
      <c r="D1085" s="70" t="s">
        <v>14</v>
      </c>
      <c r="E1085" s="72">
        <v>2.9999999999999997E-4</v>
      </c>
      <c r="F1085" s="72">
        <v>4.8000000000000001E-4</v>
      </c>
    </row>
    <row r="1086" spans="1:6" s="27" customFormat="1" x14ac:dyDescent="0.4">
      <c r="A1086" s="76"/>
      <c r="B1086" s="77"/>
      <c r="C1086" s="78" t="s">
        <v>662</v>
      </c>
      <c r="D1086" s="77" t="s">
        <v>31</v>
      </c>
      <c r="E1086" s="80">
        <v>113</v>
      </c>
      <c r="F1086" s="79">
        <v>180.8</v>
      </c>
    </row>
    <row r="1087" spans="1:6" s="27" customFormat="1" x14ac:dyDescent="0.4">
      <c r="A1087" s="51"/>
      <c r="B1087" s="52"/>
      <c r="C1087" s="110" t="s">
        <v>663</v>
      </c>
      <c r="D1087" s="110"/>
      <c r="E1087" s="52"/>
      <c r="F1087" s="53"/>
    </row>
    <row r="1088" spans="1:6" s="27" customFormat="1" ht="58.15" x14ac:dyDescent="0.4">
      <c r="A1088" s="54" t="s">
        <v>322</v>
      </c>
      <c r="B1088" s="55" t="s">
        <v>672</v>
      </c>
      <c r="C1088" s="55" t="s">
        <v>881</v>
      </c>
      <c r="D1088" s="56" t="s">
        <v>664</v>
      </c>
      <c r="E1088" s="106">
        <v>29.8</v>
      </c>
      <c r="F1088" s="107"/>
    </row>
    <row r="1089" spans="1:6" s="27" customFormat="1" x14ac:dyDescent="0.4">
      <c r="A1089" s="57"/>
      <c r="B1089" s="58"/>
      <c r="C1089" s="59" t="s">
        <v>11</v>
      </c>
      <c r="D1089" s="58" t="s">
        <v>12</v>
      </c>
      <c r="E1089" s="60">
        <v>70.88</v>
      </c>
      <c r="F1089" s="60">
        <v>2112.2240000000002</v>
      </c>
    </row>
    <row r="1090" spans="1:6" s="27" customFormat="1" x14ac:dyDescent="0.4">
      <c r="A1090" s="61"/>
      <c r="B1090" s="62"/>
      <c r="C1090" s="63" t="s">
        <v>673</v>
      </c>
      <c r="D1090" s="62" t="s">
        <v>13</v>
      </c>
      <c r="E1090" s="64">
        <v>0.45</v>
      </c>
      <c r="F1090" s="64">
        <v>13.41</v>
      </c>
    </row>
    <row r="1091" spans="1:6" s="27" customFormat="1" x14ac:dyDescent="0.4">
      <c r="A1091" s="65"/>
      <c r="B1091" s="66"/>
      <c r="C1091" s="67" t="s">
        <v>674</v>
      </c>
      <c r="D1091" s="66" t="s">
        <v>13</v>
      </c>
      <c r="E1091" s="68">
        <v>1.39</v>
      </c>
      <c r="F1091" s="68">
        <v>41.421999999999997</v>
      </c>
    </row>
    <row r="1092" spans="1:6" s="27" customFormat="1" x14ac:dyDescent="0.4">
      <c r="A1092" s="69"/>
      <c r="B1092" s="70"/>
      <c r="C1092" s="71" t="s">
        <v>74</v>
      </c>
      <c r="D1092" s="70" t="s">
        <v>23</v>
      </c>
      <c r="E1092" s="72">
        <v>0.35</v>
      </c>
      <c r="F1092" s="72">
        <v>10.43</v>
      </c>
    </row>
    <row r="1093" spans="1:6" s="27" customFormat="1" x14ac:dyDescent="0.4">
      <c r="A1093" s="76"/>
      <c r="B1093" s="77"/>
      <c r="C1093" s="78" t="s">
        <v>671</v>
      </c>
      <c r="D1093" s="77" t="s">
        <v>23</v>
      </c>
      <c r="E1093" s="79">
        <v>0.94499999999999995</v>
      </c>
      <c r="F1093" s="79">
        <v>28.161000000000001</v>
      </c>
    </row>
    <row r="1094" spans="1:6" s="27" customFormat="1" ht="23.25" x14ac:dyDescent="0.4">
      <c r="A1094" s="54" t="s">
        <v>323</v>
      </c>
      <c r="B1094" s="55" t="s">
        <v>675</v>
      </c>
      <c r="C1094" s="55" t="s">
        <v>676</v>
      </c>
      <c r="D1094" s="56" t="s">
        <v>572</v>
      </c>
      <c r="E1094" s="106">
        <v>29.8</v>
      </c>
      <c r="F1094" s="107"/>
    </row>
    <row r="1095" spans="1:6" s="27" customFormat="1" x14ac:dyDescent="0.4">
      <c r="A1095" s="57"/>
      <c r="B1095" s="58"/>
      <c r="C1095" s="59" t="s">
        <v>11</v>
      </c>
      <c r="D1095" s="58" t="s">
        <v>12</v>
      </c>
      <c r="E1095" s="60">
        <v>375.06</v>
      </c>
      <c r="F1095" s="60">
        <v>11176.788</v>
      </c>
    </row>
    <row r="1096" spans="1:6" s="27" customFormat="1" x14ac:dyDescent="0.4">
      <c r="A1096" s="61"/>
      <c r="B1096" s="62"/>
      <c r="C1096" s="63" t="s">
        <v>677</v>
      </c>
      <c r="D1096" s="62" t="s">
        <v>13</v>
      </c>
      <c r="E1096" s="64">
        <v>0.23</v>
      </c>
      <c r="F1096" s="64">
        <v>6.8540000000000001</v>
      </c>
    </row>
    <row r="1097" spans="1:6" s="27" customFormat="1" x14ac:dyDescent="0.4">
      <c r="A1097" s="65"/>
      <c r="B1097" s="66"/>
      <c r="C1097" s="67" t="s">
        <v>678</v>
      </c>
      <c r="D1097" s="66" t="s">
        <v>13</v>
      </c>
      <c r="E1097" s="68">
        <v>4.0199999999999996</v>
      </c>
      <c r="F1097" s="68">
        <v>119.79600000000001</v>
      </c>
    </row>
    <row r="1098" spans="1:6" s="27" customFormat="1" x14ac:dyDescent="0.4">
      <c r="A1098" s="65"/>
      <c r="B1098" s="66"/>
      <c r="C1098" s="67" t="s">
        <v>679</v>
      </c>
      <c r="D1098" s="66" t="s">
        <v>13</v>
      </c>
      <c r="E1098" s="68">
        <v>1.25</v>
      </c>
      <c r="F1098" s="68">
        <v>37.25</v>
      </c>
    </row>
    <row r="1099" spans="1:6" s="27" customFormat="1" x14ac:dyDescent="0.4">
      <c r="A1099" s="65"/>
      <c r="B1099" s="66"/>
      <c r="C1099" s="67" t="s">
        <v>473</v>
      </c>
      <c r="D1099" s="66" t="s">
        <v>13</v>
      </c>
      <c r="E1099" s="68">
        <v>21.24</v>
      </c>
      <c r="F1099" s="68">
        <v>632.952</v>
      </c>
    </row>
    <row r="1100" spans="1:6" s="27" customFormat="1" x14ac:dyDescent="0.4">
      <c r="A1100" s="69"/>
      <c r="B1100" s="70"/>
      <c r="C1100" s="71" t="s">
        <v>680</v>
      </c>
      <c r="D1100" s="70" t="s">
        <v>14</v>
      </c>
      <c r="E1100" s="72">
        <v>2.5000000000000001E-2</v>
      </c>
      <c r="F1100" s="72">
        <v>0.745</v>
      </c>
    </row>
    <row r="1101" spans="1:6" s="27" customFormat="1" x14ac:dyDescent="0.4">
      <c r="A1101" s="76"/>
      <c r="B1101" s="77"/>
      <c r="C1101" s="78" t="s">
        <v>681</v>
      </c>
      <c r="D1101" s="77" t="s">
        <v>76</v>
      </c>
      <c r="E1101" s="80">
        <v>400</v>
      </c>
      <c r="F1101" s="80">
        <v>11920</v>
      </c>
    </row>
    <row r="1102" spans="1:6" s="27" customFormat="1" ht="23.25" x14ac:dyDescent="0.4">
      <c r="A1102" s="54" t="s">
        <v>324</v>
      </c>
      <c r="B1102" s="55" t="s">
        <v>34</v>
      </c>
      <c r="C1102" s="55" t="s">
        <v>682</v>
      </c>
      <c r="D1102" s="56" t="s">
        <v>76</v>
      </c>
      <c r="E1102" s="108">
        <v>14900</v>
      </c>
      <c r="F1102" s="109"/>
    </row>
    <row r="1103" spans="1:6" s="27" customFormat="1" x14ac:dyDescent="0.4">
      <c r="A1103" s="54" t="s">
        <v>325</v>
      </c>
      <c r="B1103" s="55" t="s">
        <v>34</v>
      </c>
      <c r="C1103" s="55" t="s">
        <v>683</v>
      </c>
      <c r="D1103" s="56" t="s">
        <v>30</v>
      </c>
      <c r="E1103" s="108">
        <v>23691</v>
      </c>
      <c r="F1103" s="109"/>
    </row>
    <row r="1104" spans="1:6" s="27" customFormat="1" x14ac:dyDescent="0.4">
      <c r="A1104" s="54" t="s">
        <v>326</v>
      </c>
      <c r="B1104" s="55" t="s">
        <v>34</v>
      </c>
      <c r="C1104" s="55" t="s">
        <v>684</v>
      </c>
      <c r="D1104" s="56" t="s">
        <v>76</v>
      </c>
      <c r="E1104" s="108">
        <v>11920</v>
      </c>
      <c r="F1104" s="109"/>
    </row>
    <row r="1105" spans="1:6" s="27" customFormat="1" x14ac:dyDescent="0.4">
      <c r="A1105" s="54" t="s">
        <v>327</v>
      </c>
      <c r="B1105" s="55" t="s">
        <v>34</v>
      </c>
      <c r="C1105" s="55" t="s">
        <v>685</v>
      </c>
      <c r="D1105" s="56" t="s">
        <v>30</v>
      </c>
      <c r="E1105" s="108">
        <v>258</v>
      </c>
      <c r="F1105" s="109"/>
    </row>
    <row r="1106" spans="1:6" s="27" customFormat="1" ht="23.25" x14ac:dyDescent="0.4">
      <c r="A1106" s="54" t="s">
        <v>328</v>
      </c>
      <c r="B1106" s="55" t="s">
        <v>34</v>
      </c>
      <c r="C1106" s="55" t="s">
        <v>686</v>
      </c>
      <c r="D1106" s="56" t="s">
        <v>21</v>
      </c>
      <c r="E1106" s="104">
        <v>3337.6</v>
      </c>
      <c r="F1106" s="105"/>
    </row>
    <row r="1107" spans="1:6" s="27" customFormat="1" x14ac:dyDescent="0.4">
      <c r="A1107" s="54" t="s">
        <v>329</v>
      </c>
      <c r="B1107" s="55" t="s">
        <v>34</v>
      </c>
      <c r="C1107" s="55" t="s">
        <v>687</v>
      </c>
      <c r="D1107" s="56" t="s">
        <v>21</v>
      </c>
      <c r="E1107" s="108">
        <v>2980</v>
      </c>
      <c r="F1107" s="109"/>
    </row>
    <row r="1108" spans="1:6" s="27" customFormat="1" ht="34.9" x14ac:dyDescent="0.4">
      <c r="A1108" s="54" t="s">
        <v>330</v>
      </c>
      <c r="B1108" s="55" t="s">
        <v>882</v>
      </c>
      <c r="C1108" s="55" t="s">
        <v>883</v>
      </c>
      <c r="D1108" s="56" t="s">
        <v>884</v>
      </c>
      <c r="E1108" s="106">
        <v>17.8</v>
      </c>
      <c r="F1108" s="107"/>
    </row>
    <row r="1109" spans="1:6" s="27" customFormat="1" x14ac:dyDescent="0.4">
      <c r="A1109" s="57"/>
      <c r="B1109" s="58"/>
      <c r="C1109" s="59" t="s">
        <v>11</v>
      </c>
      <c r="D1109" s="58" t="s">
        <v>12</v>
      </c>
      <c r="E1109" s="60">
        <v>121.15</v>
      </c>
      <c r="F1109" s="60">
        <v>2156.4699999999998</v>
      </c>
    </row>
    <row r="1110" spans="1:6" s="27" customFormat="1" x14ac:dyDescent="0.4">
      <c r="A1110" s="61"/>
      <c r="B1110" s="62"/>
      <c r="C1110" s="63" t="s">
        <v>25</v>
      </c>
      <c r="D1110" s="62" t="s">
        <v>13</v>
      </c>
      <c r="E1110" s="64">
        <v>0.3</v>
      </c>
      <c r="F1110" s="64">
        <v>5.34</v>
      </c>
    </row>
    <row r="1111" spans="1:6" s="27" customFormat="1" x14ac:dyDescent="0.4">
      <c r="A1111" s="65"/>
      <c r="B1111" s="66"/>
      <c r="C1111" s="67" t="s">
        <v>19</v>
      </c>
      <c r="D1111" s="66" t="s">
        <v>13</v>
      </c>
      <c r="E1111" s="68">
        <v>0.16</v>
      </c>
      <c r="F1111" s="68">
        <v>2.8479999999999999</v>
      </c>
    </row>
    <row r="1112" spans="1:6" s="27" customFormat="1" x14ac:dyDescent="0.4">
      <c r="A1112" s="69"/>
      <c r="B1112" s="70"/>
      <c r="C1112" s="71" t="s">
        <v>885</v>
      </c>
      <c r="D1112" s="70" t="s">
        <v>76</v>
      </c>
      <c r="E1112" s="73">
        <v>10</v>
      </c>
      <c r="F1112" s="73">
        <v>178</v>
      </c>
    </row>
    <row r="1113" spans="1:6" s="27" customFormat="1" x14ac:dyDescent="0.4">
      <c r="A1113" s="76"/>
      <c r="B1113" s="77"/>
      <c r="C1113" s="78" t="s">
        <v>886</v>
      </c>
      <c r="D1113" s="77" t="s">
        <v>76</v>
      </c>
      <c r="E1113" s="80">
        <v>60</v>
      </c>
      <c r="F1113" s="80">
        <v>1068</v>
      </c>
    </row>
    <row r="1114" spans="1:6" s="27" customFormat="1" x14ac:dyDescent="0.4">
      <c r="A1114" s="54" t="s">
        <v>331</v>
      </c>
      <c r="B1114" s="55" t="s">
        <v>887</v>
      </c>
      <c r="C1114" s="55" t="s">
        <v>888</v>
      </c>
      <c r="D1114" s="56" t="s">
        <v>508</v>
      </c>
      <c r="E1114" s="111">
        <v>12</v>
      </c>
      <c r="F1114" s="112"/>
    </row>
    <row r="1115" spans="1:6" s="27" customFormat="1" x14ac:dyDescent="0.4">
      <c r="A1115" s="57"/>
      <c r="B1115" s="58"/>
      <c r="C1115" s="59" t="s">
        <v>11</v>
      </c>
      <c r="D1115" s="58" t="s">
        <v>12</v>
      </c>
      <c r="E1115" s="60">
        <v>4.29</v>
      </c>
      <c r="F1115" s="60">
        <v>51.48</v>
      </c>
    </row>
    <row r="1116" spans="1:6" s="27" customFormat="1" x14ac:dyDescent="0.4">
      <c r="A1116" s="61"/>
      <c r="B1116" s="62"/>
      <c r="C1116" s="63" t="s">
        <v>469</v>
      </c>
      <c r="D1116" s="62" t="s">
        <v>13</v>
      </c>
      <c r="E1116" s="64">
        <v>0.1</v>
      </c>
      <c r="F1116" s="64">
        <v>1.2</v>
      </c>
    </row>
    <row r="1117" spans="1:6" s="27" customFormat="1" x14ac:dyDescent="0.4">
      <c r="A1117" s="65"/>
      <c r="B1117" s="66"/>
      <c r="C1117" s="67" t="s">
        <v>889</v>
      </c>
      <c r="D1117" s="66" t="s">
        <v>13</v>
      </c>
      <c r="E1117" s="68">
        <v>3.42</v>
      </c>
      <c r="F1117" s="68">
        <v>41.04</v>
      </c>
    </row>
    <row r="1118" spans="1:6" s="27" customFormat="1" x14ac:dyDescent="0.4">
      <c r="A1118" s="65"/>
      <c r="B1118" s="66"/>
      <c r="C1118" s="67" t="s">
        <v>19</v>
      </c>
      <c r="D1118" s="66" t="s">
        <v>13</v>
      </c>
      <c r="E1118" s="68">
        <v>0.01</v>
      </c>
      <c r="F1118" s="68">
        <v>0.12</v>
      </c>
    </row>
    <row r="1119" spans="1:6" s="27" customFormat="1" x14ac:dyDescent="0.4">
      <c r="A1119" s="69"/>
      <c r="B1119" s="70"/>
      <c r="C1119" s="71" t="s">
        <v>890</v>
      </c>
      <c r="D1119" s="70" t="s">
        <v>14</v>
      </c>
      <c r="E1119" s="72">
        <v>1.61E-2</v>
      </c>
      <c r="F1119" s="72">
        <v>0.19320000000000001</v>
      </c>
    </row>
    <row r="1120" spans="1:6" s="27" customFormat="1" x14ac:dyDescent="0.4">
      <c r="A1120" s="54" t="s">
        <v>332</v>
      </c>
      <c r="B1120" s="55" t="s">
        <v>891</v>
      </c>
      <c r="C1120" s="55" t="s">
        <v>892</v>
      </c>
      <c r="D1120" s="56" t="s">
        <v>508</v>
      </c>
      <c r="E1120" s="111">
        <v>12</v>
      </c>
      <c r="F1120" s="112"/>
    </row>
    <row r="1121" spans="1:6" s="27" customFormat="1" x14ac:dyDescent="0.4">
      <c r="A1121" s="57"/>
      <c r="B1121" s="58"/>
      <c r="C1121" s="59" t="s">
        <v>11</v>
      </c>
      <c r="D1121" s="58" t="s">
        <v>12</v>
      </c>
      <c r="E1121" s="60">
        <v>23.6</v>
      </c>
      <c r="F1121" s="60">
        <v>283.2</v>
      </c>
    </row>
    <row r="1122" spans="1:6" s="27" customFormat="1" x14ac:dyDescent="0.4">
      <c r="A1122" s="61"/>
      <c r="B1122" s="62"/>
      <c r="C1122" s="63" t="s">
        <v>469</v>
      </c>
      <c r="D1122" s="62" t="s">
        <v>13</v>
      </c>
      <c r="E1122" s="64">
        <v>0.1</v>
      </c>
      <c r="F1122" s="64">
        <v>1.2</v>
      </c>
    </row>
    <row r="1123" spans="1:6" s="27" customFormat="1" x14ac:dyDescent="0.4">
      <c r="A1123" s="65"/>
      <c r="B1123" s="66"/>
      <c r="C1123" s="67" t="s">
        <v>19</v>
      </c>
      <c r="D1123" s="66" t="s">
        <v>13</v>
      </c>
      <c r="E1123" s="68">
        <v>0.02</v>
      </c>
      <c r="F1123" s="68">
        <v>0.24</v>
      </c>
    </row>
    <row r="1124" spans="1:6" s="27" customFormat="1" x14ac:dyDescent="0.4">
      <c r="A1124" s="69"/>
      <c r="B1124" s="70"/>
      <c r="C1124" s="71" t="s">
        <v>893</v>
      </c>
      <c r="D1124" s="70" t="s">
        <v>14</v>
      </c>
      <c r="E1124" s="72">
        <v>0.05</v>
      </c>
      <c r="F1124" s="72">
        <v>0.6</v>
      </c>
    </row>
    <row r="1125" spans="1:6" s="27" customFormat="1" ht="58.15" x14ac:dyDescent="0.4">
      <c r="A1125" s="54" t="s">
        <v>333</v>
      </c>
      <c r="B1125" s="55" t="s">
        <v>894</v>
      </c>
      <c r="C1125" s="55" t="s">
        <v>895</v>
      </c>
      <c r="D1125" s="56" t="s">
        <v>703</v>
      </c>
      <c r="E1125" s="111">
        <v>12</v>
      </c>
      <c r="F1125" s="112"/>
    </row>
    <row r="1126" spans="1:6" s="27" customFormat="1" x14ac:dyDescent="0.4">
      <c r="A1126" s="57"/>
      <c r="B1126" s="58"/>
      <c r="C1126" s="59" t="s">
        <v>11</v>
      </c>
      <c r="D1126" s="58" t="s">
        <v>12</v>
      </c>
      <c r="E1126" s="60">
        <v>6.74</v>
      </c>
      <c r="F1126" s="60">
        <v>80.88</v>
      </c>
    </row>
    <row r="1127" spans="1:6" s="27" customFormat="1" x14ac:dyDescent="0.4">
      <c r="A1127" s="61"/>
      <c r="B1127" s="62"/>
      <c r="C1127" s="63" t="s">
        <v>469</v>
      </c>
      <c r="D1127" s="62" t="s">
        <v>13</v>
      </c>
      <c r="E1127" s="64">
        <v>0.16</v>
      </c>
      <c r="F1127" s="64">
        <v>1.92</v>
      </c>
    </row>
    <row r="1128" spans="1:6" s="27" customFormat="1" x14ac:dyDescent="0.4">
      <c r="A1128" s="65"/>
      <c r="B1128" s="66"/>
      <c r="C1128" s="67" t="s">
        <v>19</v>
      </c>
      <c r="D1128" s="66" t="s">
        <v>13</v>
      </c>
      <c r="E1128" s="68">
        <v>0.05</v>
      </c>
      <c r="F1128" s="68">
        <v>0.6</v>
      </c>
    </row>
    <row r="1129" spans="1:6" s="27" customFormat="1" x14ac:dyDescent="0.4">
      <c r="A1129" s="69"/>
      <c r="B1129" s="70"/>
      <c r="C1129" s="71" t="s">
        <v>704</v>
      </c>
      <c r="D1129" s="70" t="s">
        <v>14</v>
      </c>
      <c r="E1129" s="72">
        <v>3.7999999999999999E-2</v>
      </c>
      <c r="F1129" s="72">
        <v>0.45600000000000002</v>
      </c>
    </row>
    <row r="1130" spans="1:6" s="27" customFormat="1" ht="23.25" x14ac:dyDescent="0.4">
      <c r="A1130" s="54" t="s">
        <v>334</v>
      </c>
      <c r="B1130" s="55" t="s">
        <v>896</v>
      </c>
      <c r="C1130" s="55" t="s">
        <v>897</v>
      </c>
      <c r="D1130" s="56" t="s">
        <v>898</v>
      </c>
      <c r="E1130" s="106">
        <v>9.5</v>
      </c>
      <c r="F1130" s="107"/>
    </row>
    <row r="1131" spans="1:6" s="27" customFormat="1" x14ac:dyDescent="0.4">
      <c r="A1131" s="57"/>
      <c r="B1131" s="58"/>
      <c r="C1131" s="59" t="s">
        <v>11</v>
      </c>
      <c r="D1131" s="58" t="s">
        <v>12</v>
      </c>
      <c r="E1131" s="74">
        <v>32</v>
      </c>
      <c r="F1131" s="74">
        <v>304</v>
      </c>
    </row>
    <row r="1132" spans="1:6" s="27" customFormat="1" x14ac:dyDescent="0.4">
      <c r="A1132" s="61"/>
      <c r="B1132" s="62"/>
      <c r="C1132" s="63" t="s">
        <v>673</v>
      </c>
      <c r="D1132" s="62" t="s">
        <v>13</v>
      </c>
      <c r="E1132" s="64">
        <v>1.19</v>
      </c>
      <c r="F1132" s="64">
        <v>11.305</v>
      </c>
    </row>
    <row r="1133" spans="1:6" s="27" customFormat="1" x14ac:dyDescent="0.4">
      <c r="A1133" s="69"/>
      <c r="B1133" s="70"/>
      <c r="C1133" s="71" t="s">
        <v>74</v>
      </c>
      <c r="D1133" s="70" t="s">
        <v>23</v>
      </c>
      <c r="E1133" s="72">
        <v>5.1999999999999998E-2</v>
      </c>
      <c r="F1133" s="72">
        <v>0.49399999999999999</v>
      </c>
    </row>
    <row r="1134" spans="1:6" s="27" customFormat="1" x14ac:dyDescent="0.4">
      <c r="A1134" s="76"/>
      <c r="B1134" s="77"/>
      <c r="C1134" s="78" t="s">
        <v>671</v>
      </c>
      <c r="D1134" s="77" t="s">
        <v>23</v>
      </c>
      <c r="E1134" s="79">
        <v>0.67</v>
      </c>
      <c r="F1134" s="79">
        <v>6.3650000000000002</v>
      </c>
    </row>
    <row r="1135" spans="1:6" s="27" customFormat="1" ht="34.9" x14ac:dyDescent="0.4">
      <c r="A1135" s="54" t="s">
        <v>335</v>
      </c>
      <c r="B1135" s="55" t="s">
        <v>882</v>
      </c>
      <c r="C1135" s="55" t="s">
        <v>899</v>
      </c>
      <c r="D1135" s="56" t="s">
        <v>884</v>
      </c>
      <c r="E1135" s="106">
        <v>1.5</v>
      </c>
      <c r="F1135" s="107"/>
    </row>
    <row r="1136" spans="1:6" s="27" customFormat="1" x14ac:dyDescent="0.4">
      <c r="A1136" s="57"/>
      <c r="B1136" s="58"/>
      <c r="C1136" s="59" t="s">
        <v>11</v>
      </c>
      <c r="D1136" s="58" t="s">
        <v>12</v>
      </c>
      <c r="E1136" s="60">
        <v>121.15</v>
      </c>
      <c r="F1136" s="60">
        <v>181.72499999999999</v>
      </c>
    </row>
    <row r="1137" spans="1:6" s="27" customFormat="1" x14ac:dyDescent="0.4">
      <c r="A1137" s="61"/>
      <c r="B1137" s="62"/>
      <c r="C1137" s="63" t="s">
        <v>25</v>
      </c>
      <c r="D1137" s="62" t="s">
        <v>13</v>
      </c>
      <c r="E1137" s="64">
        <v>0.3</v>
      </c>
      <c r="F1137" s="64">
        <v>0.45</v>
      </c>
    </row>
    <row r="1138" spans="1:6" s="27" customFormat="1" x14ac:dyDescent="0.4">
      <c r="A1138" s="65"/>
      <c r="B1138" s="66"/>
      <c r="C1138" s="67" t="s">
        <v>19</v>
      </c>
      <c r="D1138" s="66" t="s">
        <v>13</v>
      </c>
      <c r="E1138" s="68">
        <v>0.16</v>
      </c>
      <c r="F1138" s="68">
        <v>0.24</v>
      </c>
    </row>
    <row r="1139" spans="1:6" s="27" customFormat="1" x14ac:dyDescent="0.4">
      <c r="A1139" s="69"/>
      <c r="B1139" s="70"/>
      <c r="C1139" s="71" t="s">
        <v>885</v>
      </c>
      <c r="D1139" s="70" t="s">
        <v>76</v>
      </c>
      <c r="E1139" s="73">
        <v>10</v>
      </c>
      <c r="F1139" s="73">
        <v>15</v>
      </c>
    </row>
    <row r="1140" spans="1:6" s="27" customFormat="1" x14ac:dyDescent="0.4">
      <c r="A1140" s="76"/>
      <c r="B1140" s="77"/>
      <c r="C1140" s="78" t="s">
        <v>886</v>
      </c>
      <c r="D1140" s="77" t="s">
        <v>76</v>
      </c>
      <c r="E1140" s="80">
        <v>60</v>
      </c>
      <c r="F1140" s="80">
        <v>90</v>
      </c>
    </row>
    <row r="1141" spans="1:6" s="27" customFormat="1" ht="46.5" x14ac:dyDescent="0.4">
      <c r="A1141" s="54" t="s">
        <v>336</v>
      </c>
      <c r="B1141" s="55" t="s">
        <v>900</v>
      </c>
      <c r="C1141" s="55" t="s">
        <v>901</v>
      </c>
      <c r="D1141" s="56" t="s">
        <v>453</v>
      </c>
      <c r="E1141" s="106">
        <v>0.6</v>
      </c>
      <c r="F1141" s="107"/>
    </row>
    <row r="1142" spans="1:6" s="27" customFormat="1" x14ac:dyDescent="0.4">
      <c r="A1142" s="57"/>
      <c r="B1142" s="58"/>
      <c r="C1142" s="59" t="s">
        <v>11</v>
      </c>
      <c r="D1142" s="58" t="s">
        <v>12</v>
      </c>
      <c r="E1142" s="60">
        <v>109.61</v>
      </c>
      <c r="F1142" s="60">
        <v>65.766000000000005</v>
      </c>
    </row>
    <row r="1143" spans="1:6" s="27" customFormat="1" x14ac:dyDescent="0.4">
      <c r="A1143" s="61"/>
      <c r="B1143" s="62"/>
      <c r="C1143" s="63" t="s">
        <v>539</v>
      </c>
      <c r="D1143" s="62" t="s">
        <v>13</v>
      </c>
      <c r="E1143" s="64">
        <v>0.14000000000000001</v>
      </c>
      <c r="F1143" s="64">
        <v>8.4000000000000005E-2</v>
      </c>
    </row>
    <row r="1144" spans="1:6" s="27" customFormat="1" x14ac:dyDescent="0.4">
      <c r="A1144" s="65"/>
      <c r="B1144" s="66"/>
      <c r="C1144" s="67" t="s">
        <v>25</v>
      </c>
      <c r="D1144" s="66" t="s">
        <v>13</v>
      </c>
      <c r="E1144" s="81">
        <v>12</v>
      </c>
      <c r="F1144" s="68">
        <v>7.2</v>
      </c>
    </row>
    <row r="1145" spans="1:6" s="27" customFormat="1" x14ac:dyDescent="0.4">
      <c r="A1145" s="69"/>
      <c r="B1145" s="70"/>
      <c r="C1145" s="71" t="s">
        <v>666</v>
      </c>
      <c r="D1145" s="70" t="s">
        <v>14</v>
      </c>
      <c r="E1145" s="72">
        <v>6.0000000000000001E-3</v>
      </c>
      <c r="F1145" s="72">
        <v>3.5999999999999999E-3</v>
      </c>
    </row>
    <row r="1146" spans="1:6" s="27" customFormat="1" x14ac:dyDescent="0.4">
      <c r="A1146" s="76"/>
      <c r="B1146" s="77"/>
      <c r="C1146" s="78" t="s">
        <v>106</v>
      </c>
      <c r="D1146" s="77" t="s">
        <v>14</v>
      </c>
      <c r="E1146" s="79">
        <v>2.5000000000000001E-2</v>
      </c>
      <c r="F1146" s="79">
        <v>1.4999999999999999E-2</v>
      </c>
    </row>
    <row r="1147" spans="1:6" s="27" customFormat="1" x14ac:dyDescent="0.4">
      <c r="A1147" s="76"/>
      <c r="B1147" s="77"/>
      <c r="C1147" s="78" t="s">
        <v>902</v>
      </c>
      <c r="D1147" s="77" t="s">
        <v>14</v>
      </c>
      <c r="E1147" s="79">
        <v>6.0000000000000001E-3</v>
      </c>
      <c r="F1147" s="79">
        <v>3.5999999999999999E-3</v>
      </c>
    </row>
    <row r="1148" spans="1:6" s="27" customFormat="1" ht="23.25" x14ac:dyDescent="0.4">
      <c r="A1148" s="76"/>
      <c r="B1148" s="77"/>
      <c r="C1148" s="78" t="s">
        <v>903</v>
      </c>
      <c r="D1148" s="77" t="s">
        <v>23</v>
      </c>
      <c r="E1148" s="79">
        <v>8.6E-3</v>
      </c>
      <c r="F1148" s="79">
        <v>5.1599999999999997E-3</v>
      </c>
    </row>
    <row r="1149" spans="1:6" s="27" customFormat="1" x14ac:dyDescent="0.4">
      <c r="A1149" s="76"/>
      <c r="B1149" s="77"/>
      <c r="C1149" s="78" t="s">
        <v>904</v>
      </c>
      <c r="D1149" s="77" t="s">
        <v>31</v>
      </c>
      <c r="E1149" s="80">
        <v>101</v>
      </c>
      <c r="F1149" s="79">
        <v>60.6</v>
      </c>
    </row>
    <row r="1150" spans="1:6" s="27" customFormat="1" x14ac:dyDescent="0.4">
      <c r="A1150" s="54" t="s">
        <v>337</v>
      </c>
      <c r="B1150" s="55" t="s">
        <v>887</v>
      </c>
      <c r="C1150" s="55" t="s">
        <v>888</v>
      </c>
      <c r="D1150" s="56" t="s">
        <v>508</v>
      </c>
      <c r="E1150" s="106">
        <v>0.4</v>
      </c>
      <c r="F1150" s="107"/>
    </row>
    <row r="1151" spans="1:6" s="27" customFormat="1" x14ac:dyDescent="0.4">
      <c r="A1151" s="57"/>
      <c r="B1151" s="58"/>
      <c r="C1151" s="59" t="s">
        <v>11</v>
      </c>
      <c r="D1151" s="58" t="s">
        <v>12</v>
      </c>
      <c r="E1151" s="60">
        <v>4.29</v>
      </c>
      <c r="F1151" s="60">
        <v>1.716</v>
      </c>
    </row>
    <row r="1152" spans="1:6" s="27" customFormat="1" x14ac:dyDescent="0.4">
      <c r="A1152" s="61"/>
      <c r="B1152" s="62"/>
      <c r="C1152" s="63" t="s">
        <v>469</v>
      </c>
      <c r="D1152" s="62" t="s">
        <v>13</v>
      </c>
      <c r="E1152" s="64">
        <v>0.1</v>
      </c>
      <c r="F1152" s="64">
        <v>0.04</v>
      </c>
    </row>
    <row r="1153" spans="1:6" s="27" customFormat="1" x14ac:dyDescent="0.4">
      <c r="A1153" s="65"/>
      <c r="B1153" s="66"/>
      <c r="C1153" s="67" t="s">
        <v>889</v>
      </c>
      <c r="D1153" s="66" t="s">
        <v>13</v>
      </c>
      <c r="E1153" s="68">
        <v>3.42</v>
      </c>
      <c r="F1153" s="68">
        <v>1.3680000000000001</v>
      </c>
    </row>
    <row r="1154" spans="1:6" s="27" customFormat="1" x14ac:dyDescent="0.4">
      <c r="A1154" s="65"/>
      <c r="B1154" s="66"/>
      <c r="C1154" s="67" t="s">
        <v>19</v>
      </c>
      <c r="D1154" s="66" t="s">
        <v>13</v>
      </c>
      <c r="E1154" s="68">
        <v>0.01</v>
      </c>
      <c r="F1154" s="68">
        <v>4.0000000000000001E-3</v>
      </c>
    </row>
    <row r="1155" spans="1:6" s="27" customFormat="1" x14ac:dyDescent="0.4">
      <c r="A1155" s="69"/>
      <c r="B1155" s="70"/>
      <c r="C1155" s="71" t="s">
        <v>890</v>
      </c>
      <c r="D1155" s="70" t="s">
        <v>14</v>
      </c>
      <c r="E1155" s="72">
        <v>1.61E-2</v>
      </c>
      <c r="F1155" s="72">
        <v>6.4400000000000004E-3</v>
      </c>
    </row>
    <row r="1156" spans="1:6" s="27" customFormat="1" x14ac:dyDescent="0.4">
      <c r="A1156" s="54" t="s">
        <v>338</v>
      </c>
      <c r="B1156" s="55" t="s">
        <v>891</v>
      </c>
      <c r="C1156" s="55" t="s">
        <v>892</v>
      </c>
      <c r="D1156" s="56" t="s">
        <v>508</v>
      </c>
      <c r="E1156" s="106">
        <v>0.4</v>
      </c>
      <c r="F1156" s="107"/>
    </row>
    <row r="1157" spans="1:6" s="27" customFormat="1" x14ac:dyDescent="0.4">
      <c r="A1157" s="57"/>
      <c r="B1157" s="58"/>
      <c r="C1157" s="59" t="s">
        <v>11</v>
      </c>
      <c r="D1157" s="58" t="s">
        <v>12</v>
      </c>
      <c r="E1157" s="60">
        <v>23.6</v>
      </c>
      <c r="F1157" s="60">
        <v>9.44</v>
      </c>
    </row>
    <row r="1158" spans="1:6" s="27" customFormat="1" x14ac:dyDescent="0.4">
      <c r="A1158" s="61"/>
      <c r="B1158" s="62"/>
      <c r="C1158" s="63" t="s">
        <v>469</v>
      </c>
      <c r="D1158" s="62" t="s">
        <v>13</v>
      </c>
      <c r="E1158" s="64">
        <v>0.1</v>
      </c>
      <c r="F1158" s="64">
        <v>0.04</v>
      </c>
    </row>
    <row r="1159" spans="1:6" s="27" customFormat="1" x14ac:dyDescent="0.4">
      <c r="A1159" s="65"/>
      <c r="B1159" s="66"/>
      <c r="C1159" s="67" t="s">
        <v>19</v>
      </c>
      <c r="D1159" s="66" t="s">
        <v>13</v>
      </c>
      <c r="E1159" s="68">
        <v>0.02</v>
      </c>
      <c r="F1159" s="68">
        <v>8.0000000000000002E-3</v>
      </c>
    </row>
    <row r="1160" spans="1:6" s="27" customFormat="1" x14ac:dyDescent="0.4">
      <c r="A1160" s="69"/>
      <c r="B1160" s="70"/>
      <c r="C1160" s="71" t="s">
        <v>893</v>
      </c>
      <c r="D1160" s="70" t="s">
        <v>14</v>
      </c>
      <c r="E1160" s="72">
        <v>0.05</v>
      </c>
      <c r="F1160" s="72">
        <v>0.02</v>
      </c>
    </row>
    <row r="1161" spans="1:6" s="27" customFormat="1" ht="58.15" x14ac:dyDescent="0.4">
      <c r="A1161" s="54" t="s">
        <v>339</v>
      </c>
      <c r="B1161" s="55" t="s">
        <v>894</v>
      </c>
      <c r="C1161" s="55" t="s">
        <v>905</v>
      </c>
      <c r="D1161" s="56" t="s">
        <v>703</v>
      </c>
      <c r="E1161" s="111">
        <v>4</v>
      </c>
      <c r="F1161" s="112"/>
    </row>
    <row r="1162" spans="1:6" s="27" customFormat="1" x14ac:dyDescent="0.4">
      <c r="A1162" s="57"/>
      <c r="B1162" s="58"/>
      <c r="C1162" s="59" t="s">
        <v>11</v>
      </c>
      <c r="D1162" s="58" t="s">
        <v>12</v>
      </c>
      <c r="E1162" s="60">
        <v>6.74</v>
      </c>
      <c r="F1162" s="60">
        <v>26.96</v>
      </c>
    </row>
    <row r="1163" spans="1:6" s="27" customFormat="1" x14ac:dyDescent="0.4">
      <c r="A1163" s="61"/>
      <c r="B1163" s="62"/>
      <c r="C1163" s="63" t="s">
        <v>469</v>
      </c>
      <c r="D1163" s="62" t="s">
        <v>13</v>
      </c>
      <c r="E1163" s="64">
        <v>0.16</v>
      </c>
      <c r="F1163" s="64">
        <v>0.64</v>
      </c>
    </row>
    <row r="1164" spans="1:6" s="27" customFormat="1" x14ac:dyDescent="0.4">
      <c r="A1164" s="65"/>
      <c r="B1164" s="66"/>
      <c r="C1164" s="67" t="s">
        <v>19</v>
      </c>
      <c r="D1164" s="66" t="s">
        <v>13</v>
      </c>
      <c r="E1164" s="68">
        <v>0.05</v>
      </c>
      <c r="F1164" s="68">
        <v>0.2</v>
      </c>
    </row>
    <row r="1165" spans="1:6" s="27" customFormat="1" x14ac:dyDescent="0.4">
      <c r="A1165" s="69"/>
      <c r="B1165" s="70"/>
      <c r="C1165" s="71" t="s">
        <v>704</v>
      </c>
      <c r="D1165" s="70" t="s">
        <v>14</v>
      </c>
      <c r="E1165" s="72">
        <v>3.7999999999999999E-2</v>
      </c>
      <c r="F1165" s="72">
        <v>0.152</v>
      </c>
    </row>
    <row r="1166" spans="1:6" s="27" customFormat="1" ht="58.15" x14ac:dyDescent="0.4">
      <c r="A1166" s="54" t="s">
        <v>340</v>
      </c>
      <c r="B1166" s="55" t="s">
        <v>906</v>
      </c>
      <c r="C1166" s="55" t="s">
        <v>907</v>
      </c>
      <c r="D1166" s="56" t="s">
        <v>908</v>
      </c>
      <c r="E1166" s="106">
        <v>0.3</v>
      </c>
      <c r="F1166" s="107"/>
    </row>
    <row r="1167" spans="1:6" s="27" customFormat="1" x14ac:dyDescent="0.4">
      <c r="A1167" s="57"/>
      <c r="B1167" s="58"/>
      <c r="C1167" s="59" t="s">
        <v>11</v>
      </c>
      <c r="D1167" s="58" t="s">
        <v>12</v>
      </c>
      <c r="E1167" s="60">
        <v>274.71199999999999</v>
      </c>
      <c r="F1167" s="60">
        <v>82.413600000000002</v>
      </c>
    </row>
    <row r="1168" spans="1:6" s="27" customFormat="1" x14ac:dyDescent="0.4">
      <c r="A1168" s="61"/>
      <c r="B1168" s="62"/>
      <c r="C1168" s="63" t="s">
        <v>25</v>
      </c>
      <c r="D1168" s="62" t="s">
        <v>13</v>
      </c>
      <c r="E1168" s="64">
        <v>37.380000000000003</v>
      </c>
      <c r="F1168" s="64">
        <v>11.214</v>
      </c>
    </row>
    <row r="1169" spans="1:6" s="27" customFormat="1" x14ac:dyDescent="0.4">
      <c r="A1169" s="65"/>
      <c r="B1169" s="66"/>
      <c r="C1169" s="67" t="s">
        <v>678</v>
      </c>
      <c r="D1169" s="66" t="s">
        <v>13</v>
      </c>
      <c r="E1169" s="68">
        <v>10.119999999999999</v>
      </c>
      <c r="F1169" s="68">
        <v>3.036</v>
      </c>
    </row>
    <row r="1170" spans="1:6" s="27" customFormat="1" x14ac:dyDescent="0.4">
      <c r="A1170" s="65"/>
      <c r="B1170" s="66"/>
      <c r="C1170" s="67" t="s">
        <v>19</v>
      </c>
      <c r="D1170" s="66" t="s">
        <v>13</v>
      </c>
      <c r="E1170" s="68">
        <v>0.35</v>
      </c>
      <c r="F1170" s="68">
        <v>0.105</v>
      </c>
    </row>
    <row r="1171" spans="1:6" s="27" customFormat="1" x14ac:dyDescent="0.4">
      <c r="A1171" s="65"/>
      <c r="B1171" s="66"/>
      <c r="C1171" s="67" t="s">
        <v>73</v>
      </c>
      <c r="D1171" s="66" t="s">
        <v>13</v>
      </c>
      <c r="E1171" s="81">
        <v>20</v>
      </c>
      <c r="F1171" s="81">
        <v>6</v>
      </c>
    </row>
    <row r="1172" spans="1:6" s="27" customFormat="1" x14ac:dyDescent="0.4">
      <c r="A1172" s="65"/>
      <c r="B1172" s="66"/>
      <c r="C1172" s="67" t="s">
        <v>909</v>
      </c>
      <c r="D1172" s="66" t="s">
        <v>13</v>
      </c>
      <c r="E1172" s="68">
        <v>4.01</v>
      </c>
      <c r="F1172" s="68">
        <v>1.2030000000000001</v>
      </c>
    </row>
    <row r="1173" spans="1:6" s="27" customFormat="1" x14ac:dyDescent="0.4">
      <c r="A1173" s="69"/>
      <c r="B1173" s="70"/>
      <c r="C1173" s="71" t="s">
        <v>910</v>
      </c>
      <c r="D1173" s="70" t="s">
        <v>30</v>
      </c>
      <c r="E1173" s="73">
        <v>800</v>
      </c>
      <c r="F1173" s="73">
        <v>240</v>
      </c>
    </row>
    <row r="1174" spans="1:6" s="27" customFormat="1" x14ac:dyDescent="0.4">
      <c r="A1174" s="76"/>
      <c r="B1174" s="77"/>
      <c r="C1174" s="78" t="s">
        <v>911</v>
      </c>
      <c r="D1174" s="77" t="s">
        <v>21</v>
      </c>
      <c r="E1174" s="80">
        <v>110</v>
      </c>
      <c r="F1174" s="80">
        <v>33</v>
      </c>
    </row>
    <row r="1175" spans="1:6" s="27" customFormat="1" x14ac:dyDescent="0.4">
      <c r="A1175" s="76"/>
      <c r="B1175" s="77"/>
      <c r="C1175" s="78" t="s">
        <v>912</v>
      </c>
      <c r="D1175" s="77" t="s">
        <v>30</v>
      </c>
      <c r="E1175" s="80">
        <v>30</v>
      </c>
      <c r="F1175" s="80">
        <v>9</v>
      </c>
    </row>
    <row r="1176" spans="1:6" s="27" customFormat="1" x14ac:dyDescent="0.4">
      <c r="A1176" s="76"/>
      <c r="B1176" s="77"/>
      <c r="C1176" s="78" t="s">
        <v>913</v>
      </c>
      <c r="D1176" s="77" t="s">
        <v>31</v>
      </c>
      <c r="E1176" s="80">
        <v>120</v>
      </c>
      <c r="F1176" s="80">
        <v>36</v>
      </c>
    </row>
    <row r="1177" spans="1:6" s="27" customFormat="1" x14ac:dyDescent="0.4">
      <c r="A1177" s="76"/>
      <c r="B1177" s="77"/>
      <c r="C1177" s="78" t="s">
        <v>914</v>
      </c>
      <c r="D1177" s="77" t="s">
        <v>31</v>
      </c>
      <c r="E1177" s="80">
        <v>1000</v>
      </c>
      <c r="F1177" s="80">
        <v>300</v>
      </c>
    </row>
    <row r="1178" spans="1:6" s="27" customFormat="1" x14ac:dyDescent="0.4">
      <c r="A1178" s="76"/>
      <c r="B1178" s="77"/>
      <c r="C1178" s="78" t="s">
        <v>915</v>
      </c>
      <c r="D1178" s="77" t="s">
        <v>30</v>
      </c>
      <c r="E1178" s="80">
        <v>50</v>
      </c>
      <c r="F1178" s="80">
        <v>15</v>
      </c>
    </row>
    <row r="1179" spans="1:6" s="27" customFormat="1" x14ac:dyDescent="0.4">
      <c r="A1179" s="76"/>
      <c r="B1179" s="77"/>
      <c r="C1179" s="78" t="s">
        <v>916</v>
      </c>
      <c r="D1179" s="77" t="s">
        <v>31</v>
      </c>
      <c r="E1179" s="80">
        <v>300</v>
      </c>
      <c r="F1179" s="80">
        <v>90</v>
      </c>
    </row>
    <row r="1180" spans="1:6" s="27" customFormat="1" x14ac:dyDescent="0.4">
      <c r="A1180" s="76"/>
      <c r="B1180" s="77"/>
      <c r="C1180" s="78" t="s">
        <v>917</v>
      </c>
      <c r="D1180" s="77" t="s">
        <v>30</v>
      </c>
      <c r="E1180" s="80">
        <v>400</v>
      </c>
      <c r="F1180" s="80">
        <v>120</v>
      </c>
    </row>
    <row r="1181" spans="1:6" s="27" customFormat="1" x14ac:dyDescent="0.4">
      <c r="A1181" s="76"/>
      <c r="B1181" s="77"/>
      <c r="C1181" s="78" t="s">
        <v>918</v>
      </c>
      <c r="D1181" s="77" t="s">
        <v>75</v>
      </c>
      <c r="E1181" s="80">
        <v>35</v>
      </c>
      <c r="F1181" s="79">
        <v>10.5</v>
      </c>
    </row>
    <row r="1182" spans="1:6" s="27" customFormat="1" x14ac:dyDescent="0.4">
      <c r="A1182" s="76"/>
      <c r="B1182" s="77"/>
      <c r="C1182" s="78" t="s">
        <v>919</v>
      </c>
      <c r="D1182" s="77" t="s">
        <v>23</v>
      </c>
      <c r="E1182" s="79">
        <v>5.0999999999999996</v>
      </c>
      <c r="F1182" s="79">
        <v>1.53</v>
      </c>
    </row>
    <row r="1183" spans="1:6" s="27" customFormat="1" x14ac:dyDescent="0.4">
      <c r="A1183" s="76"/>
      <c r="B1183" s="77"/>
      <c r="C1183" s="78" t="s">
        <v>637</v>
      </c>
      <c r="D1183" s="77" t="s">
        <v>21</v>
      </c>
      <c r="E1183" s="80">
        <v>110</v>
      </c>
      <c r="F1183" s="80">
        <v>33</v>
      </c>
    </row>
    <row r="1184" spans="1:6" s="27" customFormat="1" x14ac:dyDescent="0.4">
      <c r="A1184" s="76"/>
      <c r="B1184" s="77"/>
      <c r="C1184" s="78" t="s">
        <v>920</v>
      </c>
      <c r="D1184" s="77" t="s">
        <v>30</v>
      </c>
      <c r="E1184" s="80">
        <v>800</v>
      </c>
      <c r="F1184" s="80">
        <v>240</v>
      </c>
    </row>
    <row r="1185" spans="1:6" s="27" customFormat="1" ht="23.25" x14ac:dyDescent="0.4">
      <c r="A1185" s="76"/>
      <c r="B1185" s="77"/>
      <c r="C1185" s="78" t="s">
        <v>921</v>
      </c>
      <c r="D1185" s="77" t="s">
        <v>30</v>
      </c>
      <c r="E1185" s="80">
        <v>400</v>
      </c>
      <c r="F1185" s="80">
        <v>120</v>
      </c>
    </row>
    <row r="1186" spans="1:6" s="27" customFormat="1" ht="23.25" x14ac:dyDescent="0.4">
      <c r="A1186" s="76"/>
      <c r="B1186" s="77"/>
      <c r="C1186" s="78" t="s">
        <v>922</v>
      </c>
      <c r="D1186" s="77" t="s">
        <v>30</v>
      </c>
      <c r="E1186" s="80">
        <v>400</v>
      </c>
      <c r="F1186" s="80">
        <v>120</v>
      </c>
    </row>
    <row r="1187" spans="1:6" s="27" customFormat="1" x14ac:dyDescent="0.4">
      <c r="A1187" s="76"/>
      <c r="B1187" s="77"/>
      <c r="C1187" s="78" t="s">
        <v>923</v>
      </c>
      <c r="D1187" s="77" t="s">
        <v>30</v>
      </c>
      <c r="E1187" s="80">
        <v>800</v>
      </c>
      <c r="F1187" s="80">
        <v>240</v>
      </c>
    </row>
    <row r="1188" spans="1:6" s="27" customFormat="1" ht="34.9" x14ac:dyDescent="0.4">
      <c r="A1188" s="54" t="s">
        <v>341</v>
      </c>
      <c r="B1188" s="55" t="s">
        <v>795</v>
      </c>
      <c r="C1188" s="55" t="s">
        <v>924</v>
      </c>
      <c r="D1188" s="56" t="s">
        <v>796</v>
      </c>
      <c r="E1188" s="106">
        <v>1.2</v>
      </c>
      <c r="F1188" s="107"/>
    </row>
    <row r="1189" spans="1:6" s="27" customFormat="1" x14ac:dyDescent="0.4">
      <c r="A1189" s="57"/>
      <c r="B1189" s="58"/>
      <c r="C1189" s="59" t="s">
        <v>11</v>
      </c>
      <c r="D1189" s="58" t="s">
        <v>12</v>
      </c>
      <c r="E1189" s="60">
        <v>41.5</v>
      </c>
      <c r="F1189" s="60">
        <v>49.8</v>
      </c>
    </row>
    <row r="1190" spans="1:6" s="27" customFormat="1" x14ac:dyDescent="0.4">
      <c r="A1190" s="61"/>
      <c r="B1190" s="62"/>
      <c r="C1190" s="63" t="s">
        <v>107</v>
      </c>
      <c r="D1190" s="62" t="s">
        <v>13</v>
      </c>
      <c r="E1190" s="64">
        <v>5.8</v>
      </c>
      <c r="F1190" s="64">
        <v>6.96</v>
      </c>
    </row>
    <row r="1191" spans="1:6" s="27" customFormat="1" x14ac:dyDescent="0.4">
      <c r="A1191" s="65"/>
      <c r="B1191" s="66"/>
      <c r="C1191" s="67" t="s">
        <v>19</v>
      </c>
      <c r="D1191" s="66" t="s">
        <v>13</v>
      </c>
      <c r="E1191" s="68">
        <v>2.21</v>
      </c>
      <c r="F1191" s="68">
        <v>2.6520000000000001</v>
      </c>
    </row>
    <row r="1192" spans="1:6" s="27" customFormat="1" x14ac:dyDescent="0.4">
      <c r="A1192" s="69"/>
      <c r="B1192" s="70"/>
      <c r="C1192" s="71" t="s">
        <v>567</v>
      </c>
      <c r="D1192" s="70" t="s">
        <v>14</v>
      </c>
      <c r="E1192" s="72">
        <v>0.02</v>
      </c>
      <c r="F1192" s="72">
        <v>2.4E-2</v>
      </c>
    </row>
    <row r="1193" spans="1:6" s="27" customFormat="1" x14ac:dyDescent="0.4">
      <c r="A1193" s="54" t="s">
        <v>342</v>
      </c>
      <c r="B1193" s="55" t="s">
        <v>34</v>
      </c>
      <c r="C1193" s="55" t="s">
        <v>925</v>
      </c>
      <c r="D1193" s="56" t="s">
        <v>31</v>
      </c>
      <c r="E1193" s="108">
        <v>120</v>
      </c>
      <c r="F1193" s="109"/>
    </row>
    <row r="1194" spans="1:6" s="27" customFormat="1" ht="46.5" x14ac:dyDescent="0.4">
      <c r="A1194" s="54" t="s">
        <v>343</v>
      </c>
      <c r="B1194" s="55" t="s">
        <v>926</v>
      </c>
      <c r="C1194" s="55" t="s">
        <v>927</v>
      </c>
      <c r="D1194" s="56" t="s">
        <v>928</v>
      </c>
      <c r="E1194" s="106">
        <v>1.8</v>
      </c>
      <c r="F1194" s="107"/>
    </row>
    <row r="1195" spans="1:6" s="27" customFormat="1" x14ac:dyDescent="0.4">
      <c r="A1195" s="57"/>
      <c r="B1195" s="58"/>
      <c r="C1195" s="59" t="s">
        <v>11</v>
      </c>
      <c r="D1195" s="58" t="s">
        <v>12</v>
      </c>
      <c r="E1195" s="60">
        <v>155.30000000000001</v>
      </c>
      <c r="F1195" s="60">
        <v>279.54000000000002</v>
      </c>
    </row>
    <row r="1196" spans="1:6" s="27" customFormat="1" x14ac:dyDescent="0.4">
      <c r="A1196" s="61"/>
      <c r="B1196" s="62"/>
      <c r="C1196" s="63" t="s">
        <v>25</v>
      </c>
      <c r="D1196" s="62" t="s">
        <v>13</v>
      </c>
      <c r="E1196" s="64">
        <v>3.21</v>
      </c>
      <c r="F1196" s="64">
        <v>5.7779999999999996</v>
      </c>
    </row>
    <row r="1197" spans="1:6" s="27" customFormat="1" x14ac:dyDescent="0.4">
      <c r="A1197" s="65"/>
      <c r="B1197" s="66"/>
      <c r="C1197" s="67" t="s">
        <v>654</v>
      </c>
      <c r="D1197" s="66" t="s">
        <v>13</v>
      </c>
      <c r="E1197" s="68">
        <v>0.55000000000000004</v>
      </c>
      <c r="F1197" s="68">
        <v>0.99</v>
      </c>
    </row>
    <row r="1198" spans="1:6" s="27" customFormat="1" x14ac:dyDescent="0.4">
      <c r="A1198" s="65"/>
      <c r="B1198" s="66"/>
      <c r="C1198" s="67" t="s">
        <v>19</v>
      </c>
      <c r="D1198" s="66" t="s">
        <v>13</v>
      </c>
      <c r="E1198" s="68">
        <v>0.69</v>
      </c>
      <c r="F1198" s="68">
        <v>1.242</v>
      </c>
    </row>
    <row r="1199" spans="1:6" s="27" customFormat="1" x14ac:dyDescent="0.4">
      <c r="A1199" s="69"/>
      <c r="B1199" s="70"/>
      <c r="C1199" s="71" t="s">
        <v>929</v>
      </c>
      <c r="D1199" s="70" t="s">
        <v>31</v>
      </c>
      <c r="E1199" s="73">
        <v>110</v>
      </c>
      <c r="F1199" s="73">
        <v>198</v>
      </c>
    </row>
    <row r="1200" spans="1:6" s="27" customFormat="1" x14ac:dyDescent="0.4">
      <c r="A1200" s="76"/>
      <c r="B1200" s="77"/>
      <c r="C1200" s="78" t="s">
        <v>20</v>
      </c>
      <c r="D1200" s="77" t="s">
        <v>14</v>
      </c>
      <c r="E1200" s="79">
        <v>1E-3</v>
      </c>
      <c r="F1200" s="79">
        <v>1.8E-3</v>
      </c>
    </row>
    <row r="1201" spans="1:6" s="27" customFormat="1" x14ac:dyDescent="0.4">
      <c r="A1201" s="76"/>
      <c r="B1201" s="77"/>
      <c r="C1201" s="78" t="s">
        <v>930</v>
      </c>
      <c r="D1201" s="77" t="s">
        <v>23</v>
      </c>
      <c r="E1201" s="79">
        <v>0.41</v>
      </c>
      <c r="F1201" s="79">
        <v>0.73799999999999999</v>
      </c>
    </row>
    <row r="1202" spans="1:6" s="27" customFormat="1" x14ac:dyDescent="0.4">
      <c r="A1202" s="76"/>
      <c r="B1202" s="77"/>
      <c r="C1202" s="78" t="s">
        <v>931</v>
      </c>
      <c r="D1202" s="77" t="s">
        <v>14</v>
      </c>
      <c r="E1202" s="79">
        <v>2.8E-3</v>
      </c>
      <c r="F1202" s="79">
        <v>5.0400000000000002E-3</v>
      </c>
    </row>
    <row r="1203" spans="1:6" s="27" customFormat="1" x14ac:dyDescent="0.4">
      <c r="A1203" s="76"/>
      <c r="B1203" s="77"/>
      <c r="C1203" s="78" t="s">
        <v>932</v>
      </c>
      <c r="D1203" s="77" t="s">
        <v>21</v>
      </c>
      <c r="E1203" s="80">
        <v>105</v>
      </c>
      <c r="F1203" s="80">
        <v>189</v>
      </c>
    </row>
    <row r="1204" spans="1:6" s="27" customFormat="1" x14ac:dyDescent="0.4">
      <c r="A1204" s="76"/>
      <c r="B1204" s="77"/>
      <c r="C1204" s="78" t="s">
        <v>933</v>
      </c>
      <c r="D1204" s="77" t="s">
        <v>14</v>
      </c>
      <c r="E1204" s="79">
        <v>2.0999999999999999E-3</v>
      </c>
      <c r="F1204" s="79">
        <v>3.7799999999999999E-3</v>
      </c>
    </row>
    <row r="1205" spans="1:6" s="27" customFormat="1" x14ac:dyDescent="0.4">
      <c r="A1205" s="54" t="s">
        <v>344</v>
      </c>
      <c r="B1205" s="55" t="s">
        <v>611</v>
      </c>
      <c r="C1205" s="55" t="s">
        <v>612</v>
      </c>
      <c r="D1205" s="56" t="s">
        <v>23</v>
      </c>
      <c r="E1205" s="111">
        <v>24</v>
      </c>
      <c r="F1205" s="112"/>
    </row>
    <row r="1206" spans="1:6" s="27" customFormat="1" x14ac:dyDescent="0.4">
      <c r="A1206" s="57"/>
      <c r="B1206" s="58"/>
      <c r="C1206" s="59" t="s">
        <v>11</v>
      </c>
      <c r="D1206" s="58" t="s">
        <v>12</v>
      </c>
      <c r="E1206" s="60">
        <v>2.4</v>
      </c>
      <c r="F1206" s="60">
        <v>57.6</v>
      </c>
    </row>
    <row r="1207" spans="1:6" s="27" customFormat="1" x14ac:dyDescent="0.4">
      <c r="A1207" s="61"/>
      <c r="B1207" s="62"/>
      <c r="C1207" s="63" t="s">
        <v>539</v>
      </c>
      <c r="D1207" s="62" t="s">
        <v>13</v>
      </c>
      <c r="E1207" s="64">
        <v>0.09</v>
      </c>
      <c r="F1207" s="64">
        <v>2.16</v>
      </c>
    </row>
    <row r="1208" spans="1:6" s="27" customFormat="1" x14ac:dyDescent="0.4">
      <c r="A1208" s="65"/>
      <c r="B1208" s="66"/>
      <c r="C1208" s="67" t="s">
        <v>613</v>
      </c>
      <c r="D1208" s="66" t="s">
        <v>13</v>
      </c>
      <c r="E1208" s="68">
        <v>0.93</v>
      </c>
      <c r="F1208" s="68">
        <v>22.32</v>
      </c>
    </row>
    <row r="1209" spans="1:6" s="27" customFormat="1" x14ac:dyDescent="0.4">
      <c r="A1209" s="69"/>
      <c r="B1209" s="70"/>
      <c r="C1209" s="71" t="s">
        <v>614</v>
      </c>
      <c r="D1209" s="70" t="s">
        <v>23</v>
      </c>
      <c r="E1209" s="72">
        <v>1.28</v>
      </c>
      <c r="F1209" s="72">
        <v>30.72</v>
      </c>
    </row>
    <row r="1210" spans="1:6" s="27" customFormat="1" ht="23.25" x14ac:dyDescent="0.4">
      <c r="A1210" s="54" t="s">
        <v>345</v>
      </c>
      <c r="B1210" s="55" t="s">
        <v>472</v>
      </c>
      <c r="C1210" s="55" t="s">
        <v>934</v>
      </c>
      <c r="D1210" s="56" t="s">
        <v>313</v>
      </c>
      <c r="E1210" s="106">
        <v>0.12</v>
      </c>
      <c r="F1210" s="107"/>
    </row>
    <row r="1211" spans="1:6" s="27" customFormat="1" x14ac:dyDescent="0.4">
      <c r="A1211" s="57"/>
      <c r="B1211" s="58"/>
      <c r="C1211" s="59" t="s">
        <v>11</v>
      </c>
      <c r="D1211" s="58" t="s">
        <v>12</v>
      </c>
      <c r="E1211" s="74">
        <v>180</v>
      </c>
      <c r="F1211" s="60">
        <v>21.6</v>
      </c>
    </row>
    <row r="1212" spans="1:6" s="27" customFormat="1" x14ac:dyDescent="0.4">
      <c r="A1212" s="61"/>
      <c r="B1212" s="62"/>
      <c r="C1212" s="63" t="s">
        <v>141</v>
      </c>
      <c r="D1212" s="62" t="s">
        <v>13</v>
      </c>
      <c r="E1212" s="75">
        <v>48</v>
      </c>
      <c r="F1212" s="64">
        <v>5.76</v>
      </c>
    </row>
    <row r="1213" spans="1:6" s="27" customFormat="1" x14ac:dyDescent="0.4">
      <c r="A1213" s="65"/>
      <c r="B1213" s="66"/>
      <c r="C1213" s="67" t="s">
        <v>19</v>
      </c>
      <c r="D1213" s="66" t="s">
        <v>13</v>
      </c>
      <c r="E1213" s="68">
        <v>0.13</v>
      </c>
      <c r="F1213" s="68">
        <v>1.5599999999999999E-2</v>
      </c>
    </row>
    <row r="1214" spans="1:6" s="27" customFormat="1" x14ac:dyDescent="0.4">
      <c r="A1214" s="69"/>
      <c r="B1214" s="70"/>
      <c r="C1214" s="71" t="s">
        <v>142</v>
      </c>
      <c r="D1214" s="70" t="s">
        <v>23</v>
      </c>
      <c r="E1214" s="73">
        <v>102</v>
      </c>
      <c r="F1214" s="72">
        <v>12.24</v>
      </c>
    </row>
    <row r="1215" spans="1:6" s="27" customFormat="1" x14ac:dyDescent="0.4">
      <c r="A1215" s="76"/>
      <c r="B1215" s="77"/>
      <c r="C1215" s="78" t="s">
        <v>314</v>
      </c>
      <c r="D1215" s="77" t="s">
        <v>21</v>
      </c>
      <c r="E1215" s="80">
        <v>250</v>
      </c>
      <c r="F1215" s="80">
        <v>30</v>
      </c>
    </row>
    <row r="1216" spans="1:6" s="27" customFormat="1" ht="34.9" x14ac:dyDescent="0.4">
      <c r="A1216" s="54" t="s">
        <v>346</v>
      </c>
      <c r="B1216" s="55" t="s">
        <v>935</v>
      </c>
      <c r="C1216" s="55" t="s">
        <v>936</v>
      </c>
      <c r="D1216" s="56" t="s">
        <v>884</v>
      </c>
      <c r="E1216" s="111">
        <v>2</v>
      </c>
      <c r="F1216" s="112"/>
    </row>
    <row r="1217" spans="1:6" s="27" customFormat="1" x14ac:dyDescent="0.4">
      <c r="A1217" s="57"/>
      <c r="B1217" s="58"/>
      <c r="C1217" s="59" t="s">
        <v>11</v>
      </c>
      <c r="D1217" s="58" t="s">
        <v>12</v>
      </c>
      <c r="E1217" s="60">
        <v>112.88</v>
      </c>
      <c r="F1217" s="60">
        <v>225.76</v>
      </c>
    </row>
    <row r="1218" spans="1:6" s="27" customFormat="1" x14ac:dyDescent="0.4">
      <c r="A1218" s="61"/>
      <c r="B1218" s="62"/>
      <c r="C1218" s="63" t="s">
        <v>19</v>
      </c>
      <c r="D1218" s="62" t="s">
        <v>13</v>
      </c>
      <c r="E1218" s="64">
        <v>0.6</v>
      </c>
      <c r="F1218" s="64">
        <v>1.2</v>
      </c>
    </row>
    <row r="1219" spans="1:6" s="27" customFormat="1" x14ac:dyDescent="0.4">
      <c r="A1219" s="69"/>
      <c r="B1219" s="70"/>
      <c r="C1219" s="71" t="s">
        <v>670</v>
      </c>
      <c r="D1219" s="70" t="s">
        <v>23</v>
      </c>
      <c r="E1219" s="72">
        <v>5.97</v>
      </c>
      <c r="F1219" s="72">
        <v>11.94</v>
      </c>
    </row>
    <row r="1220" spans="1:6" s="27" customFormat="1" x14ac:dyDescent="0.4">
      <c r="A1220" s="76"/>
      <c r="B1220" s="77"/>
      <c r="C1220" s="78" t="s">
        <v>937</v>
      </c>
      <c r="D1220" s="77" t="s">
        <v>21</v>
      </c>
      <c r="E1220" s="80">
        <v>102</v>
      </c>
      <c r="F1220" s="80">
        <v>204</v>
      </c>
    </row>
    <row r="1221" spans="1:6" s="27" customFormat="1" x14ac:dyDescent="0.4">
      <c r="A1221" s="76"/>
      <c r="B1221" s="77"/>
      <c r="C1221" s="78" t="s">
        <v>668</v>
      </c>
      <c r="D1221" s="77" t="s">
        <v>14</v>
      </c>
      <c r="E1221" s="79">
        <v>2.12</v>
      </c>
      <c r="F1221" s="79">
        <v>4.24</v>
      </c>
    </row>
    <row r="1222" spans="1:6" s="27" customFormat="1" x14ac:dyDescent="0.4">
      <c r="A1222" s="51"/>
      <c r="B1222" s="52"/>
      <c r="C1222" s="110" t="s">
        <v>938</v>
      </c>
      <c r="D1222" s="110"/>
      <c r="E1222" s="52"/>
      <c r="F1222" s="53"/>
    </row>
    <row r="1223" spans="1:6" s="27" customFormat="1" x14ac:dyDescent="0.4">
      <c r="A1223" s="51"/>
      <c r="B1223" s="52"/>
      <c r="C1223" s="110" t="s">
        <v>706</v>
      </c>
      <c r="D1223" s="110"/>
      <c r="E1223" s="52"/>
      <c r="F1223" s="53"/>
    </row>
    <row r="1224" spans="1:6" s="27" customFormat="1" x14ac:dyDescent="0.4">
      <c r="A1224" s="51"/>
      <c r="B1224" s="52"/>
      <c r="C1224" s="110" t="s">
        <v>939</v>
      </c>
      <c r="D1224" s="110"/>
      <c r="E1224" s="52"/>
      <c r="F1224" s="53"/>
    </row>
    <row r="1225" spans="1:6" s="27" customFormat="1" ht="58.15" x14ac:dyDescent="0.4">
      <c r="A1225" s="54" t="s">
        <v>347</v>
      </c>
      <c r="B1225" s="55" t="s">
        <v>707</v>
      </c>
      <c r="C1225" s="55" t="s">
        <v>708</v>
      </c>
      <c r="D1225" s="56" t="s">
        <v>664</v>
      </c>
      <c r="E1225" s="106">
        <v>4.3159999999999998</v>
      </c>
      <c r="F1225" s="107"/>
    </row>
    <row r="1226" spans="1:6" s="27" customFormat="1" x14ac:dyDescent="0.4">
      <c r="A1226" s="57"/>
      <c r="B1226" s="58"/>
      <c r="C1226" s="59" t="s">
        <v>11</v>
      </c>
      <c r="D1226" s="58" t="s">
        <v>12</v>
      </c>
      <c r="E1226" s="60">
        <v>68.099999999999994</v>
      </c>
      <c r="F1226" s="60">
        <v>293.9196</v>
      </c>
    </row>
    <row r="1227" spans="1:6" s="27" customFormat="1" x14ac:dyDescent="0.4">
      <c r="A1227" s="61"/>
      <c r="B1227" s="62"/>
      <c r="C1227" s="63" t="s">
        <v>25</v>
      </c>
      <c r="D1227" s="62" t="s">
        <v>13</v>
      </c>
      <c r="E1227" s="64">
        <v>1.95</v>
      </c>
      <c r="F1227" s="64">
        <v>8.4161999999999999</v>
      </c>
    </row>
    <row r="1228" spans="1:6" s="27" customFormat="1" x14ac:dyDescent="0.4">
      <c r="A1228" s="69"/>
      <c r="B1228" s="70"/>
      <c r="C1228" s="71" t="s">
        <v>698</v>
      </c>
      <c r="D1228" s="70" t="s">
        <v>14</v>
      </c>
      <c r="E1228" s="72">
        <v>0.96199999999999997</v>
      </c>
      <c r="F1228" s="72">
        <v>4.1520000000000001</v>
      </c>
    </row>
    <row r="1229" spans="1:6" s="27" customFormat="1" x14ac:dyDescent="0.4">
      <c r="A1229" s="76"/>
      <c r="B1229" s="77"/>
      <c r="C1229" s="78" t="s">
        <v>699</v>
      </c>
      <c r="D1229" s="77" t="s">
        <v>14</v>
      </c>
      <c r="E1229" s="79">
        <v>0.02</v>
      </c>
      <c r="F1229" s="79">
        <v>8.6319999999999994E-2</v>
      </c>
    </row>
    <row r="1230" spans="1:6" s="27" customFormat="1" ht="58.15" x14ac:dyDescent="0.4">
      <c r="A1230" s="54" t="s">
        <v>348</v>
      </c>
      <c r="B1230" s="55" t="s">
        <v>709</v>
      </c>
      <c r="C1230" s="55" t="s">
        <v>710</v>
      </c>
      <c r="D1230" s="56" t="s">
        <v>703</v>
      </c>
      <c r="E1230" s="106">
        <v>4.3159999999999998</v>
      </c>
      <c r="F1230" s="107"/>
    </row>
    <row r="1231" spans="1:6" s="27" customFormat="1" x14ac:dyDescent="0.4">
      <c r="A1231" s="57"/>
      <c r="B1231" s="58"/>
      <c r="C1231" s="59" t="s">
        <v>11</v>
      </c>
      <c r="D1231" s="58" t="s">
        <v>12</v>
      </c>
      <c r="E1231" s="60">
        <v>28.6</v>
      </c>
      <c r="F1231" s="60">
        <v>123.4376</v>
      </c>
    </row>
    <row r="1232" spans="1:6" s="27" customFormat="1" x14ac:dyDescent="0.4">
      <c r="A1232" s="61"/>
      <c r="B1232" s="62"/>
      <c r="C1232" s="63" t="s">
        <v>19</v>
      </c>
      <c r="D1232" s="62" t="s">
        <v>13</v>
      </c>
      <c r="E1232" s="64">
        <v>0.1</v>
      </c>
      <c r="F1232" s="64">
        <v>0.43159999999999998</v>
      </c>
    </row>
    <row r="1233" spans="1:6" s="27" customFormat="1" x14ac:dyDescent="0.4">
      <c r="A1233" s="69"/>
      <c r="B1233" s="70"/>
      <c r="C1233" s="71" t="s">
        <v>704</v>
      </c>
      <c r="D1233" s="70" t="s">
        <v>14</v>
      </c>
      <c r="E1233" s="72">
        <v>6.9000000000000006E-2</v>
      </c>
      <c r="F1233" s="72">
        <v>0.29780400000000001</v>
      </c>
    </row>
    <row r="1234" spans="1:6" s="27" customFormat="1" x14ac:dyDescent="0.4">
      <c r="A1234" s="76"/>
      <c r="B1234" s="77"/>
      <c r="C1234" s="78" t="s">
        <v>705</v>
      </c>
      <c r="D1234" s="77" t="s">
        <v>14</v>
      </c>
      <c r="E1234" s="79">
        <v>5.4999999999999997E-3</v>
      </c>
      <c r="F1234" s="79">
        <v>2.3737999999999999E-2</v>
      </c>
    </row>
    <row r="1235" spans="1:6" s="27" customFormat="1" x14ac:dyDescent="0.4">
      <c r="A1235" s="76"/>
      <c r="B1235" s="77"/>
      <c r="C1235" s="78" t="s">
        <v>691</v>
      </c>
      <c r="D1235" s="77" t="s">
        <v>21</v>
      </c>
      <c r="E1235" s="79">
        <v>0.84</v>
      </c>
      <c r="F1235" s="79">
        <v>3.6254</v>
      </c>
    </row>
    <row r="1236" spans="1:6" s="27" customFormat="1" x14ac:dyDescent="0.4">
      <c r="A1236" s="51"/>
      <c r="B1236" s="52"/>
      <c r="C1236" s="110" t="s">
        <v>940</v>
      </c>
      <c r="D1236" s="110"/>
      <c r="E1236" s="52"/>
      <c r="F1236" s="53"/>
    </row>
    <row r="1237" spans="1:6" s="27" customFormat="1" ht="23.25" x14ac:dyDescent="0.4">
      <c r="A1237" s="54" t="s">
        <v>349</v>
      </c>
      <c r="B1237" s="55" t="s">
        <v>941</v>
      </c>
      <c r="C1237" s="55" t="s">
        <v>942</v>
      </c>
      <c r="D1237" s="56" t="s">
        <v>508</v>
      </c>
      <c r="E1237" s="106">
        <v>2.0459999999999998</v>
      </c>
      <c r="F1237" s="107"/>
    </row>
    <row r="1238" spans="1:6" s="27" customFormat="1" x14ac:dyDescent="0.4">
      <c r="A1238" s="57"/>
      <c r="B1238" s="58"/>
      <c r="C1238" s="59" t="s">
        <v>11</v>
      </c>
      <c r="D1238" s="58" t="s">
        <v>12</v>
      </c>
      <c r="E1238" s="60">
        <v>387.13</v>
      </c>
      <c r="F1238" s="60">
        <v>792.06799999999998</v>
      </c>
    </row>
    <row r="1239" spans="1:6" s="27" customFormat="1" x14ac:dyDescent="0.4">
      <c r="A1239" s="61"/>
      <c r="B1239" s="62"/>
      <c r="C1239" s="63" t="s">
        <v>25</v>
      </c>
      <c r="D1239" s="62" t="s">
        <v>13</v>
      </c>
      <c r="E1239" s="64">
        <v>41.4</v>
      </c>
      <c r="F1239" s="64">
        <v>84.704400000000007</v>
      </c>
    </row>
    <row r="1240" spans="1:6" s="27" customFormat="1" x14ac:dyDescent="0.4">
      <c r="A1240" s="65"/>
      <c r="B1240" s="66"/>
      <c r="C1240" s="67" t="s">
        <v>654</v>
      </c>
      <c r="D1240" s="66" t="s">
        <v>13</v>
      </c>
      <c r="E1240" s="68">
        <v>137.69999999999999</v>
      </c>
      <c r="F1240" s="68">
        <v>281.73419999999999</v>
      </c>
    </row>
    <row r="1241" spans="1:6" s="27" customFormat="1" x14ac:dyDescent="0.4">
      <c r="A1241" s="65"/>
      <c r="B1241" s="66"/>
      <c r="C1241" s="67" t="s">
        <v>73</v>
      </c>
      <c r="D1241" s="66" t="s">
        <v>13</v>
      </c>
      <c r="E1241" s="68">
        <v>59.28</v>
      </c>
      <c r="F1241" s="68">
        <v>121.2869</v>
      </c>
    </row>
    <row r="1242" spans="1:6" s="27" customFormat="1" x14ac:dyDescent="0.4">
      <c r="A1242" s="69"/>
      <c r="B1242" s="70"/>
      <c r="C1242" s="71" t="s">
        <v>943</v>
      </c>
      <c r="D1242" s="70" t="s">
        <v>14</v>
      </c>
      <c r="E1242" s="72">
        <v>1.46E-2</v>
      </c>
      <c r="F1242" s="72">
        <v>2.9871999999999999E-2</v>
      </c>
    </row>
    <row r="1243" spans="1:6" s="27" customFormat="1" ht="23.25" x14ac:dyDescent="0.4">
      <c r="A1243" s="76"/>
      <c r="B1243" s="77"/>
      <c r="C1243" s="78" t="s">
        <v>944</v>
      </c>
      <c r="D1243" s="77" t="s">
        <v>14</v>
      </c>
      <c r="E1243" s="79">
        <v>3.0999999999999999E-3</v>
      </c>
      <c r="F1243" s="79">
        <v>6.3429999999999997E-3</v>
      </c>
    </row>
    <row r="1244" spans="1:6" s="27" customFormat="1" x14ac:dyDescent="0.4">
      <c r="A1244" s="76"/>
      <c r="B1244" s="77"/>
      <c r="C1244" s="78" t="s">
        <v>945</v>
      </c>
      <c r="D1244" s="77" t="s">
        <v>14</v>
      </c>
      <c r="E1244" s="79">
        <v>8.3000000000000004E-2</v>
      </c>
      <c r="F1244" s="79">
        <v>0.169818</v>
      </c>
    </row>
    <row r="1245" spans="1:6" s="27" customFormat="1" x14ac:dyDescent="0.4">
      <c r="A1245" s="76"/>
      <c r="B1245" s="77"/>
      <c r="C1245" s="78" t="s">
        <v>946</v>
      </c>
      <c r="D1245" s="77" t="s">
        <v>14</v>
      </c>
      <c r="E1245" s="79">
        <v>2.5000000000000001E-3</v>
      </c>
      <c r="F1245" s="79">
        <v>5.1149999999999998E-3</v>
      </c>
    </row>
    <row r="1246" spans="1:6" s="27" customFormat="1" x14ac:dyDescent="0.4">
      <c r="A1246" s="76"/>
      <c r="B1246" s="77"/>
      <c r="C1246" s="78" t="s">
        <v>947</v>
      </c>
      <c r="D1246" s="77" t="s">
        <v>21</v>
      </c>
      <c r="E1246" s="80">
        <v>108</v>
      </c>
      <c r="F1246" s="79">
        <v>220.96799999999999</v>
      </c>
    </row>
    <row r="1247" spans="1:6" s="27" customFormat="1" x14ac:dyDescent="0.4">
      <c r="A1247" s="76"/>
      <c r="B1247" s="77"/>
      <c r="C1247" s="78" t="s">
        <v>948</v>
      </c>
      <c r="D1247" s="77" t="s">
        <v>587</v>
      </c>
      <c r="E1247" s="79">
        <v>0.9</v>
      </c>
      <c r="F1247" s="79">
        <v>1.8413999999999999</v>
      </c>
    </row>
    <row r="1248" spans="1:6" s="27" customFormat="1" x14ac:dyDescent="0.4">
      <c r="A1248" s="76"/>
      <c r="B1248" s="77"/>
      <c r="C1248" s="78" t="s">
        <v>949</v>
      </c>
      <c r="D1248" s="77" t="s">
        <v>31</v>
      </c>
      <c r="E1248" s="80">
        <v>510</v>
      </c>
      <c r="F1248" s="79">
        <v>1043.46</v>
      </c>
    </row>
    <row r="1249" spans="1:6" s="27" customFormat="1" x14ac:dyDescent="0.4">
      <c r="A1249" s="76"/>
      <c r="B1249" s="77"/>
      <c r="C1249" s="78" t="s">
        <v>950</v>
      </c>
      <c r="D1249" s="77" t="s">
        <v>30</v>
      </c>
      <c r="E1249" s="80">
        <v>300</v>
      </c>
      <c r="F1249" s="79">
        <v>613.79999999999995</v>
      </c>
    </row>
    <row r="1250" spans="1:6" s="27" customFormat="1" x14ac:dyDescent="0.4">
      <c r="A1250" s="76"/>
      <c r="B1250" s="77"/>
      <c r="C1250" s="78" t="s">
        <v>951</v>
      </c>
      <c r="D1250" s="77" t="s">
        <v>30</v>
      </c>
      <c r="E1250" s="80">
        <v>120</v>
      </c>
      <c r="F1250" s="79">
        <v>245.52</v>
      </c>
    </row>
    <row r="1251" spans="1:6" s="27" customFormat="1" x14ac:dyDescent="0.4">
      <c r="A1251" s="76"/>
      <c r="B1251" s="77"/>
      <c r="C1251" s="78" t="s">
        <v>952</v>
      </c>
      <c r="D1251" s="77" t="s">
        <v>30</v>
      </c>
      <c r="E1251" s="80">
        <v>72</v>
      </c>
      <c r="F1251" s="79">
        <v>147.31200000000001</v>
      </c>
    </row>
    <row r="1252" spans="1:6" s="27" customFormat="1" x14ac:dyDescent="0.4">
      <c r="A1252" s="76"/>
      <c r="B1252" s="77"/>
      <c r="C1252" s="78" t="s">
        <v>953</v>
      </c>
      <c r="D1252" s="77" t="s">
        <v>30</v>
      </c>
      <c r="E1252" s="80">
        <v>72</v>
      </c>
      <c r="F1252" s="79">
        <v>147.31200000000001</v>
      </c>
    </row>
    <row r="1253" spans="1:6" s="27" customFormat="1" x14ac:dyDescent="0.4">
      <c r="A1253" s="76"/>
      <c r="B1253" s="77"/>
      <c r="C1253" s="78" t="s">
        <v>954</v>
      </c>
      <c r="D1253" s="77" t="s">
        <v>30</v>
      </c>
      <c r="E1253" s="80">
        <v>150</v>
      </c>
      <c r="F1253" s="79">
        <v>306.89999999999998</v>
      </c>
    </row>
    <row r="1254" spans="1:6" s="27" customFormat="1" ht="58.15" x14ac:dyDescent="0.4">
      <c r="A1254" s="54" t="s">
        <v>350</v>
      </c>
      <c r="B1254" s="55" t="s">
        <v>707</v>
      </c>
      <c r="C1254" s="55" t="s">
        <v>708</v>
      </c>
      <c r="D1254" s="56" t="s">
        <v>664</v>
      </c>
      <c r="E1254" s="106">
        <v>2.0459999999999998</v>
      </c>
      <c r="F1254" s="107"/>
    </row>
    <row r="1255" spans="1:6" s="27" customFormat="1" x14ac:dyDescent="0.4">
      <c r="A1255" s="57"/>
      <c r="B1255" s="58"/>
      <c r="C1255" s="59" t="s">
        <v>11</v>
      </c>
      <c r="D1255" s="58" t="s">
        <v>12</v>
      </c>
      <c r="E1255" s="60">
        <v>68.099999999999994</v>
      </c>
      <c r="F1255" s="60">
        <v>139.33260000000001</v>
      </c>
    </row>
    <row r="1256" spans="1:6" s="27" customFormat="1" x14ac:dyDescent="0.4">
      <c r="A1256" s="61"/>
      <c r="B1256" s="62"/>
      <c r="C1256" s="63" t="s">
        <v>25</v>
      </c>
      <c r="D1256" s="62" t="s">
        <v>13</v>
      </c>
      <c r="E1256" s="64">
        <v>1.95</v>
      </c>
      <c r="F1256" s="64">
        <v>3.9897</v>
      </c>
    </row>
    <row r="1257" spans="1:6" s="27" customFormat="1" x14ac:dyDescent="0.4">
      <c r="A1257" s="69"/>
      <c r="B1257" s="70"/>
      <c r="C1257" s="71" t="s">
        <v>698</v>
      </c>
      <c r="D1257" s="70" t="s">
        <v>14</v>
      </c>
      <c r="E1257" s="72">
        <v>0.96199999999999997</v>
      </c>
      <c r="F1257" s="72">
        <v>1.9682999999999999</v>
      </c>
    </row>
    <row r="1258" spans="1:6" s="27" customFormat="1" x14ac:dyDescent="0.4">
      <c r="A1258" s="76"/>
      <c r="B1258" s="77"/>
      <c r="C1258" s="78" t="s">
        <v>699</v>
      </c>
      <c r="D1258" s="77" t="s">
        <v>14</v>
      </c>
      <c r="E1258" s="79">
        <v>0.02</v>
      </c>
      <c r="F1258" s="79">
        <v>4.0919999999999998E-2</v>
      </c>
    </row>
    <row r="1259" spans="1:6" s="27" customFormat="1" ht="58.15" x14ac:dyDescent="0.4">
      <c r="A1259" s="54" t="s">
        <v>351</v>
      </c>
      <c r="B1259" s="55" t="s">
        <v>955</v>
      </c>
      <c r="C1259" s="55" t="s">
        <v>956</v>
      </c>
      <c r="D1259" s="56" t="s">
        <v>664</v>
      </c>
      <c r="E1259" s="106">
        <v>-2.0459999999999998</v>
      </c>
      <c r="F1259" s="107"/>
    </row>
    <row r="1260" spans="1:6" s="27" customFormat="1" x14ac:dyDescent="0.4">
      <c r="A1260" s="57"/>
      <c r="B1260" s="58"/>
      <c r="C1260" s="59" t="s">
        <v>11</v>
      </c>
      <c r="D1260" s="58" t="s">
        <v>12</v>
      </c>
      <c r="E1260" s="60">
        <v>30.65</v>
      </c>
      <c r="F1260" s="60">
        <v>-62.709899999999998</v>
      </c>
    </row>
    <row r="1261" spans="1:6" s="27" customFormat="1" x14ac:dyDescent="0.4">
      <c r="A1261" s="61"/>
      <c r="B1261" s="62"/>
      <c r="C1261" s="63" t="s">
        <v>25</v>
      </c>
      <c r="D1261" s="62" t="s">
        <v>13</v>
      </c>
      <c r="E1261" s="64">
        <v>0.97499999999999998</v>
      </c>
      <c r="F1261" s="64">
        <v>-1.9948999999999999</v>
      </c>
    </row>
    <row r="1262" spans="1:6" s="27" customFormat="1" x14ac:dyDescent="0.4">
      <c r="A1262" s="69"/>
      <c r="B1262" s="70"/>
      <c r="C1262" s="71" t="s">
        <v>698</v>
      </c>
      <c r="D1262" s="70" t="s">
        <v>14</v>
      </c>
      <c r="E1262" s="72">
        <v>0.48099999999999998</v>
      </c>
      <c r="F1262" s="72">
        <v>-0.98412599999999995</v>
      </c>
    </row>
    <row r="1263" spans="1:6" s="27" customFormat="1" ht="58.15" x14ac:dyDescent="0.4">
      <c r="A1263" s="54" t="s">
        <v>352</v>
      </c>
      <c r="B1263" s="55" t="s">
        <v>709</v>
      </c>
      <c r="C1263" s="55" t="s">
        <v>710</v>
      </c>
      <c r="D1263" s="56" t="s">
        <v>703</v>
      </c>
      <c r="E1263" s="106">
        <v>2.0459999999999998</v>
      </c>
      <c r="F1263" s="107"/>
    </row>
    <row r="1264" spans="1:6" s="27" customFormat="1" x14ac:dyDescent="0.4">
      <c r="A1264" s="57"/>
      <c r="B1264" s="58"/>
      <c r="C1264" s="59" t="s">
        <v>11</v>
      </c>
      <c r="D1264" s="58" t="s">
        <v>12</v>
      </c>
      <c r="E1264" s="60">
        <v>28.6</v>
      </c>
      <c r="F1264" s="60">
        <v>58.515599999999999</v>
      </c>
    </row>
    <row r="1265" spans="1:6" s="27" customFormat="1" x14ac:dyDescent="0.4">
      <c r="A1265" s="61"/>
      <c r="B1265" s="62"/>
      <c r="C1265" s="63" t="s">
        <v>19</v>
      </c>
      <c r="D1265" s="62" t="s">
        <v>13</v>
      </c>
      <c r="E1265" s="64">
        <v>0.1</v>
      </c>
      <c r="F1265" s="64">
        <v>0.2046</v>
      </c>
    </row>
    <row r="1266" spans="1:6" s="27" customFormat="1" x14ac:dyDescent="0.4">
      <c r="A1266" s="69"/>
      <c r="B1266" s="70"/>
      <c r="C1266" s="71" t="s">
        <v>704</v>
      </c>
      <c r="D1266" s="70" t="s">
        <v>14</v>
      </c>
      <c r="E1266" s="72">
        <v>6.9000000000000006E-2</v>
      </c>
      <c r="F1266" s="72">
        <v>0.14117399999999999</v>
      </c>
    </row>
    <row r="1267" spans="1:6" s="27" customFormat="1" x14ac:dyDescent="0.4">
      <c r="A1267" s="76"/>
      <c r="B1267" s="77"/>
      <c r="C1267" s="78" t="s">
        <v>705</v>
      </c>
      <c r="D1267" s="77" t="s">
        <v>14</v>
      </c>
      <c r="E1267" s="79">
        <v>5.4999999999999997E-3</v>
      </c>
      <c r="F1267" s="79">
        <v>1.1253000000000001E-2</v>
      </c>
    </row>
    <row r="1268" spans="1:6" s="27" customFormat="1" x14ac:dyDescent="0.4">
      <c r="A1268" s="76"/>
      <c r="B1268" s="77"/>
      <c r="C1268" s="78" t="s">
        <v>691</v>
      </c>
      <c r="D1268" s="77" t="s">
        <v>21</v>
      </c>
      <c r="E1268" s="79">
        <v>0.84</v>
      </c>
      <c r="F1268" s="79">
        <v>1.7185999999999999</v>
      </c>
    </row>
    <row r="1269" spans="1:6" s="27" customFormat="1" x14ac:dyDescent="0.4">
      <c r="A1269" s="51"/>
      <c r="B1269" s="52"/>
      <c r="C1269" s="110" t="s">
        <v>957</v>
      </c>
      <c r="D1269" s="110"/>
      <c r="E1269" s="52"/>
      <c r="F1269" s="53"/>
    </row>
    <row r="1270" spans="1:6" s="27" customFormat="1" ht="23.25" x14ac:dyDescent="0.4">
      <c r="A1270" s="54" t="s">
        <v>353</v>
      </c>
      <c r="B1270" s="55" t="s">
        <v>941</v>
      </c>
      <c r="C1270" s="55" t="s">
        <v>942</v>
      </c>
      <c r="D1270" s="56" t="s">
        <v>508</v>
      </c>
      <c r="E1270" s="106">
        <v>14.574999999999999</v>
      </c>
      <c r="F1270" s="107"/>
    </row>
    <row r="1271" spans="1:6" s="27" customFormat="1" x14ac:dyDescent="0.4">
      <c r="A1271" s="57"/>
      <c r="B1271" s="58"/>
      <c r="C1271" s="59" t="s">
        <v>11</v>
      </c>
      <c r="D1271" s="58" t="s">
        <v>12</v>
      </c>
      <c r="E1271" s="60">
        <v>387.13</v>
      </c>
      <c r="F1271" s="60">
        <v>5642.4197999999997</v>
      </c>
    </row>
    <row r="1272" spans="1:6" s="27" customFormat="1" x14ac:dyDescent="0.4">
      <c r="A1272" s="61"/>
      <c r="B1272" s="62"/>
      <c r="C1272" s="63" t="s">
        <v>25</v>
      </c>
      <c r="D1272" s="62" t="s">
        <v>13</v>
      </c>
      <c r="E1272" s="64">
        <v>41.4</v>
      </c>
      <c r="F1272" s="64">
        <v>603.40499999999997</v>
      </c>
    </row>
    <row r="1273" spans="1:6" s="27" customFormat="1" x14ac:dyDescent="0.4">
      <c r="A1273" s="65"/>
      <c r="B1273" s="66"/>
      <c r="C1273" s="67" t="s">
        <v>654</v>
      </c>
      <c r="D1273" s="66" t="s">
        <v>13</v>
      </c>
      <c r="E1273" s="68">
        <v>137.69999999999999</v>
      </c>
      <c r="F1273" s="68">
        <v>2006.9775</v>
      </c>
    </row>
    <row r="1274" spans="1:6" s="27" customFormat="1" x14ac:dyDescent="0.4">
      <c r="A1274" s="65"/>
      <c r="B1274" s="66"/>
      <c r="C1274" s="67" t="s">
        <v>73</v>
      </c>
      <c r="D1274" s="66" t="s">
        <v>13</v>
      </c>
      <c r="E1274" s="68">
        <v>59.28</v>
      </c>
      <c r="F1274" s="68">
        <v>864.00599999999997</v>
      </c>
    </row>
    <row r="1275" spans="1:6" s="27" customFormat="1" x14ac:dyDescent="0.4">
      <c r="A1275" s="69"/>
      <c r="B1275" s="70"/>
      <c r="C1275" s="71" t="s">
        <v>943</v>
      </c>
      <c r="D1275" s="70" t="s">
        <v>14</v>
      </c>
      <c r="E1275" s="72">
        <v>1.46E-2</v>
      </c>
      <c r="F1275" s="72">
        <v>0.21279500000000001</v>
      </c>
    </row>
    <row r="1276" spans="1:6" s="27" customFormat="1" ht="23.25" x14ac:dyDescent="0.4">
      <c r="A1276" s="76"/>
      <c r="B1276" s="77"/>
      <c r="C1276" s="78" t="s">
        <v>944</v>
      </c>
      <c r="D1276" s="77" t="s">
        <v>14</v>
      </c>
      <c r="E1276" s="79">
        <v>3.0999999999999999E-3</v>
      </c>
      <c r="F1276" s="79">
        <v>4.5183000000000001E-2</v>
      </c>
    </row>
    <row r="1277" spans="1:6" s="27" customFormat="1" x14ac:dyDescent="0.4">
      <c r="A1277" s="76"/>
      <c r="B1277" s="77"/>
      <c r="C1277" s="78" t="s">
        <v>945</v>
      </c>
      <c r="D1277" s="77" t="s">
        <v>14</v>
      </c>
      <c r="E1277" s="79">
        <v>8.3000000000000004E-2</v>
      </c>
      <c r="F1277" s="79">
        <v>1.2097</v>
      </c>
    </row>
    <row r="1278" spans="1:6" s="27" customFormat="1" x14ac:dyDescent="0.4">
      <c r="A1278" s="76"/>
      <c r="B1278" s="77"/>
      <c r="C1278" s="78" t="s">
        <v>946</v>
      </c>
      <c r="D1278" s="77" t="s">
        <v>14</v>
      </c>
      <c r="E1278" s="79">
        <v>2.5000000000000001E-3</v>
      </c>
      <c r="F1278" s="79">
        <v>3.6436999999999997E-2</v>
      </c>
    </row>
    <row r="1279" spans="1:6" s="27" customFormat="1" x14ac:dyDescent="0.4">
      <c r="A1279" s="76"/>
      <c r="B1279" s="77"/>
      <c r="C1279" s="78" t="s">
        <v>947</v>
      </c>
      <c r="D1279" s="77" t="s">
        <v>21</v>
      </c>
      <c r="E1279" s="80">
        <v>108</v>
      </c>
      <c r="F1279" s="79">
        <v>1574.1</v>
      </c>
    </row>
    <row r="1280" spans="1:6" s="27" customFormat="1" x14ac:dyDescent="0.4">
      <c r="A1280" s="76"/>
      <c r="B1280" s="77"/>
      <c r="C1280" s="78" t="s">
        <v>948</v>
      </c>
      <c r="D1280" s="77" t="s">
        <v>587</v>
      </c>
      <c r="E1280" s="79">
        <v>0.9</v>
      </c>
      <c r="F1280" s="79">
        <v>13.1175</v>
      </c>
    </row>
    <row r="1281" spans="1:6" s="27" customFormat="1" x14ac:dyDescent="0.4">
      <c r="A1281" s="76"/>
      <c r="B1281" s="77"/>
      <c r="C1281" s="78" t="s">
        <v>949</v>
      </c>
      <c r="D1281" s="77" t="s">
        <v>31</v>
      </c>
      <c r="E1281" s="80">
        <v>510</v>
      </c>
      <c r="F1281" s="79">
        <v>7433.25</v>
      </c>
    </row>
    <row r="1282" spans="1:6" s="27" customFormat="1" x14ac:dyDescent="0.4">
      <c r="A1282" s="76"/>
      <c r="B1282" s="77"/>
      <c r="C1282" s="78" t="s">
        <v>950</v>
      </c>
      <c r="D1282" s="77" t="s">
        <v>30</v>
      </c>
      <c r="E1282" s="80">
        <v>300</v>
      </c>
      <c r="F1282" s="79">
        <v>4372.5</v>
      </c>
    </row>
    <row r="1283" spans="1:6" s="27" customFormat="1" x14ac:dyDescent="0.4">
      <c r="A1283" s="76"/>
      <c r="B1283" s="77"/>
      <c r="C1283" s="78" t="s">
        <v>951</v>
      </c>
      <c r="D1283" s="77" t="s">
        <v>30</v>
      </c>
      <c r="E1283" s="80">
        <v>120</v>
      </c>
      <c r="F1283" s="80">
        <v>1749</v>
      </c>
    </row>
    <row r="1284" spans="1:6" s="27" customFormat="1" x14ac:dyDescent="0.4">
      <c r="A1284" s="76"/>
      <c r="B1284" s="77"/>
      <c r="C1284" s="78" t="s">
        <v>952</v>
      </c>
      <c r="D1284" s="77" t="s">
        <v>30</v>
      </c>
      <c r="E1284" s="80">
        <v>72</v>
      </c>
      <c r="F1284" s="79">
        <v>1049.4000000000001</v>
      </c>
    </row>
    <row r="1285" spans="1:6" s="27" customFormat="1" x14ac:dyDescent="0.4">
      <c r="A1285" s="76"/>
      <c r="B1285" s="77"/>
      <c r="C1285" s="78" t="s">
        <v>953</v>
      </c>
      <c r="D1285" s="77" t="s">
        <v>30</v>
      </c>
      <c r="E1285" s="80">
        <v>72</v>
      </c>
      <c r="F1285" s="79">
        <v>1049.4000000000001</v>
      </c>
    </row>
    <row r="1286" spans="1:6" s="27" customFormat="1" x14ac:dyDescent="0.4">
      <c r="A1286" s="76"/>
      <c r="B1286" s="77"/>
      <c r="C1286" s="78" t="s">
        <v>954</v>
      </c>
      <c r="D1286" s="77" t="s">
        <v>30</v>
      </c>
      <c r="E1286" s="80">
        <v>150</v>
      </c>
      <c r="F1286" s="79">
        <v>2186.25</v>
      </c>
    </row>
    <row r="1287" spans="1:6" s="27" customFormat="1" ht="58.15" x14ac:dyDescent="0.4">
      <c r="A1287" s="54" t="s">
        <v>354</v>
      </c>
      <c r="B1287" s="55" t="s">
        <v>707</v>
      </c>
      <c r="C1287" s="55" t="s">
        <v>708</v>
      </c>
      <c r="D1287" s="56" t="s">
        <v>664</v>
      </c>
      <c r="E1287" s="106">
        <v>14.574999999999999</v>
      </c>
      <c r="F1287" s="107"/>
    </row>
    <row r="1288" spans="1:6" s="27" customFormat="1" x14ac:dyDescent="0.4">
      <c r="A1288" s="57"/>
      <c r="B1288" s="58"/>
      <c r="C1288" s="59" t="s">
        <v>11</v>
      </c>
      <c r="D1288" s="58" t="s">
        <v>12</v>
      </c>
      <c r="E1288" s="60">
        <v>68.099999999999994</v>
      </c>
      <c r="F1288" s="60">
        <v>992.5575</v>
      </c>
    </row>
    <row r="1289" spans="1:6" s="27" customFormat="1" x14ac:dyDescent="0.4">
      <c r="A1289" s="61"/>
      <c r="B1289" s="62"/>
      <c r="C1289" s="63" t="s">
        <v>25</v>
      </c>
      <c r="D1289" s="62" t="s">
        <v>13</v>
      </c>
      <c r="E1289" s="64">
        <v>1.95</v>
      </c>
      <c r="F1289" s="64">
        <v>28.421299999999999</v>
      </c>
    </row>
    <row r="1290" spans="1:6" s="27" customFormat="1" x14ac:dyDescent="0.4">
      <c r="A1290" s="69"/>
      <c r="B1290" s="70"/>
      <c r="C1290" s="71" t="s">
        <v>698</v>
      </c>
      <c r="D1290" s="70" t="s">
        <v>14</v>
      </c>
      <c r="E1290" s="72">
        <v>0.96199999999999997</v>
      </c>
      <c r="F1290" s="72">
        <v>14.0212</v>
      </c>
    </row>
    <row r="1291" spans="1:6" s="27" customFormat="1" x14ac:dyDescent="0.4">
      <c r="A1291" s="76"/>
      <c r="B1291" s="77"/>
      <c r="C1291" s="78" t="s">
        <v>699</v>
      </c>
      <c r="D1291" s="77" t="s">
        <v>14</v>
      </c>
      <c r="E1291" s="79">
        <v>0.02</v>
      </c>
      <c r="F1291" s="79">
        <v>0.29149999999999998</v>
      </c>
    </row>
    <row r="1292" spans="1:6" s="27" customFormat="1" ht="58.15" x14ac:dyDescent="0.4">
      <c r="A1292" s="54" t="s">
        <v>355</v>
      </c>
      <c r="B1292" s="55" t="s">
        <v>955</v>
      </c>
      <c r="C1292" s="55" t="s">
        <v>956</v>
      </c>
      <c r="D1292" s="56" t="s">
        <v>664</v>
      </c>
      <c r="E1292" s="106">
        <v>-14.574999999999999</v>
      </c>
      <c r="F1292" s="107"/>
    </row>
    <row r="1293" spans="1:6" s="27" customFormat="1" x14ac:dyDescent="0.4">
      <c r="A1293" s="57"/>
      <c r="B1293" s="58"/>
      <c r="C1293" s="59" t="s">
        <v>11</v>
      </c>
      <c r="D1293" s="58" t="s">
        <v>12</v>
      </c>
      <c r="E1293" s="60">
        <v>30.65</v>
      </c>
      <c r="F1293" s="60">
        <v>-446.72370000000001</v>
      </c>
    </row>
    <row r="1294" spans="1:6" s="27" customFormat="1" x14ac:dyDescent="0.4">
      <c r="A1294" s="61"/>
      <c r="B1294" s="62"/>
      <c r="C1294" s="63" t="s">
        <v>25</v>
      </c>
      <c r="D1294" s="62" t="s">
        <v>13</v>
      </c>
      <c r="E1294" s="64">
        <v>0.97499999999999998</v>
      </c>
      <c r="F1294" s="64">
        <v>-14.210599999999999</v>
      </c>
    </row>
    <row r="1295" spans="1:6" s="27" customFormat="1" x14ac:dyDescent="0.4">
      <c r="A1295" s="69"/>
      <c r="B1295" s="70"/>
      <c r="C1295" s="71" t="s">
        <v>698</v>
      </c>
      <c r="D1295" s="70" t="s">
        <v>14</v>
      </c>
      <c r="E1295" s="72">
        <v>0.48099999999999998</v>
      </c>
      <c r="F1295" s="72">
        <v>-7.0106000000000002</v>
      </c>
    </row>
    <row r="1296" spans="1:6" s="27" customFormat="1" ht="58.15" x14ac:dyDescent="0.4">
      <c r="A1296" s="54" t="s">
        <v>356</v>
      </c>
      <c r="B1296" s="55" t="s">
        <v>709</v>
      </c>
      <c r="C1296" s="55" t="s">
        <v>710</v>
      </c>
      <c r="D1296" s="56" t="s">
        <v>703</v>
      </c>
      <c r="E1296" s="106">
        <v>14.574999999999999</v>
      </c>
      <c r="F1296" s="107"/>
    </row>
    <row r="1297" spans="1:6" s="27" customFormat="1" x14ac:dyDescent="0.4">
      <c r="A1297" s="57"/>
      <c r="B1297" s="58"/>
      <c r="C1297" s="59" t="s">
        <v>11</v>
      </c>
      <c r="D1297" s="58" t="s">
        <v>12</v>
      </c>
      <c r="E1297" s="60">
        <v>28.6</v>
      </c>
      <c r="F1297" s="60">
        <v>416.84500000000003</v>
      </c>
    </row>
    <row r="1298" spans="1:6" s="27" customFormat="1" x14ac:dyDescent="0.4">
      <c r="A1298" s="61"/>
      <c r="B1298" s="62"/>
      <c r="C1298" s="63" t="s">
        <v>19</v>
      </c>
      <c r="D1298" s="62" t="s">
        <v>13</v>
      </c>
      <c r="E1298" s="64">
        <v>0.1</v>
      </c>
      <c r="F1298" s="64">
        <v>1.4575</v>
      </c>
    </row>
    <row r="1299" spans="1:6" s="27" customFormat="1" x14ac:dyDescent="0.4">
      <c r="A1299" s="69"/>
      <c r="B1299" s="70"/>
      <c r="C1299" s="71" t="s">
        <v>704</v>
      </c>
      <c r="D1299" s="70" t="s">
        <v>14</v>
      </c>
      <c r="E1299" s="72">
        <v>6.9000000000000006E-2</v>
      </c>
      <c r="F1299" s="72">
        <v>1.0057</v>
      </c>
    </row>
    <row r="1300" spans="1:6" s="27" customFormat="1" x14ac:dyDescent="0.4">
      <c r="A1300" s="76"/>
      <c r="B1300" s="77"/>
      <c r="C1300" s="78" t="s">
        <v>705</v>
      </c>
      <c r="D1300" s="77" t="s">
        <v>14</v>
      </c>
      <c r="E1300" s="79">
        <v>5.4999999999999997E-3</v>
      </c>
      <c r="F1300" s="79">
        <v>8.0161999999999997E-2</v>
      </c>
    </row>
    <row r="1301" spans="1:6" s="27" customFormat="1" x14ac:dyDescent="0.4">
      <c r="A1301" s="76"/>
      <c r="B1301" s="77"/>
      <c r="C1301" s="78" t="s">
        <v>691</v>
      </c>
      <c r="D1301" s="77" t="s">
        <v>21</v>
      </c>
      <c r="E1301" s="79">
        <v>0.84</v>
      </c>
      <c r="F1301" s="79">
        <v>12.243</v>
      </c>
    </row>
    <row r="1302" spans="1:6" s="27" customFormat="1" x14ac:dyDescent="0.4">
      <c r="A1302" s="51"/>
      <c r="B1302" s="52"/>
      <c r="C1302" s="110" t="s">
        <v>958</v>
      </c>
      <c r="D1302" s="110"/>
      <c r="E1302" s="52"/>
      <c r="F1302" s="53"/>
    </row>
    <row r="1303" spans="1:6" s="27" customFormat="1" ht="58.15" x14ac:dyDescent="0.4">
      <c r="A1303" s="54" t="s">
        <v>357</v>
      </c>
      <c r="B1303" s="55" t="s">
        <v>959</v>
      </c>
      <c r="C1303" s="55" t="s">
        <v>960</v>
      </c>
      <c r="D1303" s="56" t="s">
        <v>664</v>
      </c>
      <c r="E1303" s="106">
        <v>0.47599999999999998</v>
      </c>
      <c r="F1303" s="107"/>
    </row>
    <row r="1304" spans="1:6" s="27" customFormat="1" x14ac:dyDescent="0.4">
      <c r="A1304" s="57"/>
      <c r="B1304" s="58"/>
      <c r="C1304" s="59" t="s">
        <v>11</v>
      </c>
      <c r="D1304" s="58" t="s">
        <v>12</v>
      </c>
      <c r="E1304" s="60">
        <v>78.88</v>
      </c>
      <c r="F1304" s="60">
        <v>37.546900000000001</v>
      </c>
    </row>
    <row r="1305" spans="1:6" s="27" customFormat="1" x14ac:dyDescent="0.4">
      <c r="A1305" s="61"/>
      <c r="B1305" s="62"/>
      <c r="C1305" s="63" t="s">
        <v>695</v>
      </c>
      <c r="D1305" s="62" t="s">
        <v>13</v>
      </c>
      <c r="E1305" s="64">
        <v>5.45</v>
      </c>
      <c r="F1305" s="64">
        <v>2.5941999999999998</v>
      </c>
    </row>
    <row r="1306" spans="1:6" s="27" customFormat="1" x14ac:dyDescent="0.4">
      <c r="A1306" s="69"/>
      <c r="B1306" s="70"/>
      <c r="C1306" s="71" t="s">
        <v>696</v>
      </c>
      <c r="D1306" s="70" t="s">
        <v>23</v>
      </c>
      <c r="E1306" s="72">
        <v>1.5</v>
      </c>
      <c r="F1306" s="72">
        <v>0.71399999999999997</v>
      </c>
    </row>
    <row r="1307" spans="1:6" s="27" customFormat="1" x14ac:dyDescent="0.4">
      <c r="A1307" s="76"/>
      <c r="B1307" s="77"/>
      <c r="C1307" s="78" t="s">
        <v>666</v>
      </c>
      <c r="D1307" s="77" t="s">
        <v>14</v>
      </c>
      <c r="E1307" s="79">
        <v>6.9999999999999994E-5</v>
      </c>
      <c r="F1307" s="79">
        <v>3.3000000000000003E-5</v>
      </c>
    </row>
    <row r="1308" spans="1:6" s="27" customFormat="1" x14ac:dyDescent="0.4">
      <c r="A1308" s="76"/>
      <c r="B1308" s="77"/>
      <c r="C1308" s="78" t="s">
        <v>667</v>
      </c>
      <c r="D1308" s="77" t="s">
        <v>21</v>
      </c>
      <c r="E1308" s="79">
        <v>2.77</v>
      </c>
      <c r="F1308" s="79">
        <v>1.3185</v>
      </c>
    </row>
    <row r="1309" spans="1:6" s="27" customFormat="1" ht="58.15" x14ac:dyDescent="0.4">
      <c r="A1309" s="54" t="s">
        <v>358</v>
      </c>
      <c r="B1309" s="55" t="s">
        <v>707</v>
      </c>
      <c r="C1309" s="55" t="s">
        <v>708</v>
      </c>
      <c r="D1309" s="56" t="s">
        <v>664</v>
      </c>
      <c r="E1309" s="106">
        <v>0.47599999999999998</v>
      </c>
      <c r="F1309" s="107"/>
    </row>
    <row r="1310" spans="1:6" s="27" customFormat="1" x14ac:dyDescent="0.4">
      <c r="A1310" s="57"/>
      <c r="B1310" s="58"/>
      <c r="C1310" s="59" t="s">
        <v>11</v>
      </c>
      <c r="D1310" s="58" t="s">
        <v>12</v>
      </c>
      <c r="E1310" s="60">
        <v>68.099999999999994</v>
      </c>
      <c r="F1310" s="60">
        <v>32.415599999999998</v>
      </c>
    </row>
    <row r="1311" spans="1:6" s="27" customFormat="1" x14ac:dyDescent="0.4">
      <c r="A1311" s="61"/>
      <c r="B1311" s="62"/>
      <c r="C1311" s="63" t="s">
        <v>25</v>
      </c>
      <c r="D1311" s="62" t="s">
        <v>13</v>
      </c>
      <c r="E1311" s="64">
        <v>1.95</v>
      </c>
      <c r="F1311" s="64">
        <v>0.92820000000000003</v>
      </c>
    </row>
    <row r="1312" spans="1:6" s="27" customFormat="1" x14ac:dyDescent="0.4">
      <c r="A1312" s="69"/>
      <c r="B1312" s="70"/>
      <c r="C1312" s="71" t="s">
        <v>698</v>
      </c>
      <c r="D1312" s="70" t="s">
        <v>14</v>
      </c>
      <c r="E1312" s="72">
        <v>0.96199999999999997</v>
      </c>
      <c r="F1312" s="72">
        <v>0.45791199999999999</v>
      </c>
    </row>
    <row r="1313" spans="1:6" s="27" customFormat="1" x14ac:dyDescent="0.4">
      <c r="A1313" s="76"/>
      <c r="B1313" s="77"/>
      <c r="C1313" s="78" t="s">
        <v>699</v>
      </c>
      <c r="D1313" s="77" t="s">
        <v>14</v>
      </c>
      <c r="E1313" s="79">
        <v>0.02</v>
      </c>
      <c r="F1313" s="79">
        <v>9.5200000000000007E-3</v>
      </c>
    </row>
    <row r="1314" spans="1:6" s="27" customFormat="1" ht="58.15" x14ac:dyDescent="0.4">
      <c r="A1314" s="54" t="s">
        <v>359</v>
      </c>
      <c r="B1314" s="55" t="s">
        <v>955</v>
      </c>
      <c r="C1314" s="55" t="s">
        <v>956</v>
      </c>
      <c r="D1314" s="56" t="s">
        <v>664</v>
      </c>
      <c r="E1314" s="106">
        <v>-0.47599999999999998</v>
      </c>
      <c r="F1314" s="107"/>
    </row>
    <row r="1315" spans="1:6" s="27" customFormat="1" x14ac:dyDescent="0.4">
      <c r="A1315" s="57"/>
      <c r="B1315" s="58"/>
      <c r="C1315" s="59" t="s">
        <v>11</v>
      </c>
      <c r="D1315" s="58" t="s">
        <v>12</v>
      </c>
      <c r="E1315" s="60">
        <v>30.65</v>
      </c>
      <c r="F1315" s="60">
        <v>-14.589399999999999</v>
      </c>
    </row>
    <row r="1316" spans="1:6" s="27" customFormat="1" x14ac:dyDescent="0.4">
      <c r="A1316" s="61"/>
      <c r="B1316" s="62"/>
      <c r="C1316" s="63" t="s">
        <v>25</v>
      </c>
      <c r="D1316" s="62" t="s">
        <v>13</v>
      </c>
      <c r="E1316" s="64">
        <v>0.97499999999999998</v>
      </c>
      <c r="F1316" s="64">
        <v>-0.46410000000000001</v>
      </c>
    </row>
    <row r="1317" spans="1:6" s="27" customFormat="1" x14ac:dyDescent="0.4">
      <c r="A1317" s="69"/>
      <c r="B1317" s="70"/>
      <c r="C1317" s="71" t="s">
        <v>698</v>
      </c>
      <c r="D1317" s="70" t="s">
        <v>14</v>
      </c>
      <c r="E1317" s="72">
        <v>0.48099999999999998</v>
      </c>
      <c r="F1317" s="72">
        <v>-0.22895599999999999</v>
      </c>
    </row>
    <row r="1318" spans="1:6" s="27" customFormat="1" ht="58.15" x14ac:dyDescent="0.4">
      <c r="A1318" s="54" t="s">
        <v>360</v>
      </c>
      <c r="B1318" s="55" t="s">
        <v>709</v>
      </c>
      <c r="C1318" s="55" t="s">
        <v>710</v>
      </c>
      <c r="D1318" s="56" t="s">
        <v>703</v>
      </c>
      <c r="E1318" s="106">
        <v>0.47599999999999998</v>
      </c>
      <c r="F1318" s="107"/>
    </row>
    <row r="1319" spans="1:6" s="27" customFormat="1" x14ac:dyDescent="0.4">
      <c r="A1319" s="57"/>
      <c r="B1319" s="58"/>
      <c r="C1319" s="59" t="s">
        <v>11</v>
      </c>
      <c r="D1319" s="58" t="s">
        <v>12</v>
      </c>
      <c r="E1319" s="60">
        <v>28.6</v>
      </c>
      <c r="F1319" s="60">
        <v>13.6136</v>
      </c>
    </row>
    <row r="1320" spans="1:6" s="27" customFormat="1" x14ac:dyDescent="0.4">
      <c r="A1320" s="61"/>
      <c r="B1320" s="62"/>
      <c r="C1320" s="63" t="s">
        <v>19</v>
      </c>
      <c r="D1320" s="62" t="s">
        <v>13</v>
      </c>
      <c r="E1320" s="64">
        <v>0.1</v>
      </c>
      <c r="F1320" s="64">
        <v>4.7600000000000003E-2</v>
      </c>
    </row>
    <row r="1321" spans="1:6" s="27" customFormat="1" x14ac:dyDescent="0.4">
      <c r="A1321" s="69"/>
      <c r="B1321" s="70"/>
      <c r="C1321" s="71" t="s">
        <v>704</v>
      </c>
      <c r="D1321" s="70" t="s">
        <v>14</v>
      </c>
      <c r="E1321" s="72">
        <v>6.9000000000000006E-2</v>
      </c>
      <c r="F1321" s="72">
        <v>3.2843999999999998E-2</v>
      </c>
    </row>
    <row r="1322" spans="1:6" s="27" customFormat="1" x14ac:dyDescent="0.4">
      <c r="A1322" s="76"/>
      <c r="B1322" s="77"/>
      <c r="C1322" s="78" t="s">
        <v>705</v>
      </c>
      <c r="D1322" s="77" t="s">
        <v>14</v>
      </c>
      <c r="E1322" s="79">
        <v>5.4999999999999997E-3</v>
      </c>
      <c r="F1322" s="79">
        <v>2.6180000000000001E-3</v>
      </c>
    </row>
    <row r="1323" spans="1:6" s="27" customFormat="1" x14ac:dyDescent="0.4">
      <c r="A1323" s="76"/>
      <c r="B1323" s="77"/>
      <c r="C1323" s="78" t="s">
        <v>691</v>
      </c>
      <c r="D1323" s="77" t="s">
        <v>21</v>
      </c>
      <c r="E1323" s="79">
        <v>0.84</v>
      </c>
      <c r="F1323" s="79">
        <v>0.39983999999999997</v>
      </c>
    </row>
    <row r="1324" spans="1:6" s="27" customFormat="1" x14ac:dyDescent="0.4">
      <c r="A1324" s="51"/>
      <c r="B1324" s="52"/>
      <c r="C1324" s="110" t="s">
        <v>961</v>
      </c>
      <c r="D1324" s="110"/>
      <c r="E1324" s="52"/>
      <c r="F1324" s="53"/>
    </row>
    <row r="1325" spans="1:6" s="27" customFormat="1" ht="23.25" x14ac:dyDescent="0.4">
      <c r="A1325" s="54" t="s">
        <v>361</v>
      </c>
      <c r="B1325" s="55" t="s">
        <v>941</v>
      </c>
      <c r="C1325" s="55" t="s">
        <v>942</v>
      </c>
      <c r="D1325" s="56" t="s">
        <v>508</v>
      </c>
      <c r="E1325" s="106">
        <v>25.628</v>
      </c>
      <c r="F1325" s="107"/>
    </row>
    <row r="1326" spans="1:6" s="27" customFormat="1" x14ac:dyDescent="0.4">
      <c r="A1326" s="57"/>
      <c r="B1326" s="58"/>
      <c r="C1326" s="59" t="s">
        <v>11</v>
      </c>
      <c r="D1326" s="58" t="s">
        <v>12</v>
      </c>
      <c r="E1326" s="60">
        <v>387.13</v>
      </c>
      <c r="F1326" s="60">
        <v>9921.3675999999996</v>
      </c>
    </row>
    <row r="1327" spans="1:6" s="27" customFormat="1" x14ac:dyDescent="0.4">
      <c r="A1327" s="61"/>
      <c r="B1327" s="62"/>
      <c r="C1327" s="63" t="s">
        <v>25</v>
      </c>
      <c r="D1327" s="62" t="s">
        <v>13</v>
      </c>
      <c r="E1327" s="64">
        <v>41.4</v>
      </c>
      <c r="F1327" s="64">
        <v>1060.9992</v>
      </c>
    </row>
    <row r="1328" spans="1:6" s="27" customFormat="1" x14ac:dyDescent="0.4">
      <c r="A1328" s="65"/>
      <c r="B1328" s="66"/>
      <c r="C1328" s="67" t="s">
        <v>654</v>
      </c>
      <c r="D1328" s="66" t="s">
        <v>13</v>
      </c>
      <c r="E1328" s="68">
        <v>137.69999999999999</v>
      </c>
      <c r="F1328" s="68">
        <v>3528.9756000000002</v>
      </c>
    </row>
    <row r="1329" spans="1:6" s="27" customFormat="1" x14ac:dyDescent="0.4">
      <c r="A1329" s="65"/>
      <c r="B1329" s="66"/>
      <c r="C1329" s="67" t="s">
        <v>73</v>
      </c>
      <c r="D1329" s="66" t="s">
        <v>13</v>
      </c>
      <c r="E1329" s="68">
        <v>59.28</v>
      </c>
      <c r="F1329" s="68">
        <v>1519.2277999999999</v>
      </c>
    </row>
    <row r="1330" spans="1:6" s="27" customFormat="1" x14ac:dyDescent="0.4">
      <c r="A1330" s="69"/>
      <c r="B1330" s="70"/>
      <c r="C1330" s="71" t="s">
        <v>943</v>
      </c>
      <c r="D1330" s="70" t="s">
        <v>14</v>
      </c>
      <c r="E1330" s="72">
        <v>1.46E-2</v>
      </c>
      <c r="F1330" s="72">
        <v>0.37416899999999997</v>
      </c>
    </row>
    <row r="1331" spans="1:6" s="27" customFormat="1" ht="23.25" x14ac:dyDescent="0.4">
      <c r="A1331" s="76"/>
      <c r="B1331" s="77"/>
      <c r="C1331" s="78" t="s">
        <v>944</v>
      </c>
      <c r="D1331" s="77" t="s">
        <v>14</v>
      </c>
      <c r="E1331" s="79">
        <v>3.0999999999999999E-3</v>
      </c>
      <c r="F1331" s="79">
        <v>7.9447000000000004E-2</v>
      </c>
    </row>
    <row r="1332" spans="1:6" s="27" customFormat="1" x14ac:dyDescent="0.4">
      <c r="A1332" s="76"/>
      <c r="B1332" s="77"/>
      <c r="C1332" s="78" t="s">
        <v>945</v>
      </c>
      <c r="D1332" s="77" t="s">
        <v>14</v>
      </c>
      <c r="E1332" s="79">
        <v>8.3000000000000004E-2</v>
      </c>
      <c r="F1332" s="79">
        <v>2.1271</v>
      </c>
    </row>
    <row r="1333" spans="1:6" s="27" customFormat="1" x14ac:dyDescent="0.4">
      <c r="A1333" s="76"/>
      <c r="B1333" s="77"/>
      <c r="C1333" s="78" t="s">
        <v>946</v>
      </c>
      <c r="D1333" s="77" t="s">
        <v>14</v>
      </c>
      <c r="E1333" s="79">
        <v>2.5000000000000001E-3</v>
      </c>
      <c r="F1333" s="79">
        <v>6.4070000000000002E-2</v>
      </c>
    </row>
    <row r="1334" spans="1:6" s="27" customFormat="1" x14ac:dyDescent="0.4">
      <c r="A1334" s="76"/>
      <c r="B1334" s="77"/>
      <c r="C1334" s="78" t="s">
        <v>947</v>
      </c>
      <c r="D1334" s="77" t="s">
        <v>21</v>
      </c>
      <c r="E1334" s="80">
        <v>108</v>
      </c>
      <c r="F1334" s="79">
        <v>2767.8240000000001</v>
      </c>
    </row>
    <row r="1335" spans="1:6" s="27" customFormat="1" x14ac:dyDescent="0.4">
      <c r="A1335" s="76"/>
      <c r="B1335" s="77"/>
      <c r="C1335" s="78" t="s">
        <v>948</v>
      </c>
      <c r="D1335" s="77" t="s">
        <v>587</v>
      </c>
      <c r="E1335" s="79">
        <v>0.9</v>
      </c>
      <c r="F1335" s="79">
        <v>23.065200000000001</v>
      </c>
    </row>
    <row r="1336" spans="1:6" s="27" customFormat="1" x14ac:dyDescent="0.4">
      <c r="A1336" s="76"/>
      <c r="B1336" s="77"/>
      <c r="C1336" s="78" t="s">
        <v>949</v>
      </c>
      <c r="D1336" s="77" t="s">
        <v>31</v>
      </c>
      <c r="E1336" s="80">
        <v>510</v>
      </c>
      <c r="F1336" s="79">
        <v>13070.28</v>
      </c>
    </row>
    <row r="1337" spans="1:6" s="27" customFormat="1" x14ac:dyDescent="0.4">
      <c r="A1337" s="76"/>
      <c r="B1337" s="77"/>
      <c r="C1337" s="78" t="s">
        <v>950</v>
      </c>
      <c r="D1337" s="77" t="s">
        <v>30</v>
      </c>
      <c r="E1337" s="80">
        <v>300</v>
      </c>
      <c r="F1337" s="79">
        <v>7688.4</v>
      </c>
    </row>
    <row r="1338" spans="1:6" s="27" customFormat="1" x14ac:dyDescent="0.4">
      <c r="A1338" s="76"/>
      <c r="B1338" s="77"/>
      <c r="C1338" s="78" t="s">
        <v>951</v>
      </c>
      <c r="D1338" s="77" t="s">
        <v>30</v>
      </c>
      <c r="E1338" s="80">
        <v>120</v>
      </c>
      <c r="F1338" s="79">
        <v>3075.36</v>
      </c>
    </row>
    <row r="1339" spans="1:6" s="27" customFormat="1" x14ac:dyDescent="0.4">
      <c r="A1339" s="76"/>
      <c r="B1339" s="77"/>
      <c r="C1339" s="78" t="s">
        <v>952</v>
      </c>
      <c r="D1339" s="77" t="s">
        <v>30</v>
      </c>
      <c r="E1339" s="80">
        <v>72</v>
      </c>
      <c r="F1339" s="79">
        <v>1845.2159999999999</v>
      </c>
    </row>
    <row r="1340" spans="1:6" s="27" customFormat="1" x14ac:dyDescent="0.4">
      <c r="A1340" s="76"/>
      <c r="B1340" s="77"/>
      <c r="C1340" s="78" t="s">
        <v>953</v>
      </c>
      <c r="D1340" s="77" t="s">
        <v>30</v>
      </c>
      <c r="E1340" s="80">
        <v>72</v>
      </c>
      <c r="F1340" s="79">
        <v>1845.2159999999999</v>
      </c>
    </row>
    <row r="1341" spans="1:6" s="27" customFormat="1" x14ac:dyDescent="0.4">
      <c r="A1341" s="76"/>
      <c r="B1341" s="77"/>
      <c r="C1341" s="78" t="s">
        <v>954</v>
      </c>
      <c r="D1341" s="77" t="s">
        <v>30</v>
      </c>
      <c r="E1341" s="80">
        <v>150</v>
      </c>
      <c r="F1341" s="79">
        <v>3844.2</v>
      </c>
    </row>
    <row r="1342" spans="1:6" s="27" customFormat="1" ht="58.15" x14ac:dyDescent="0.4">
      <c r="A1342" s="54" t="s">
        <v>362</v>
      </c>
      <c r="B1342" s="55" t="s">
        <v>707</v>
      </c>
      <c r="C1342" s="55" t="s">
        <v>708</v>
      </c>
      <c r="D1342" s="56" t="s">
        <v>664</v>
      </c>
      <c r="E1342" s="106">
        <v>25.628</v>
      </c>
      <c r="F1342" s="107"/>
    </row>
    <row r="1343" spans="1:6" s="27" customFormat="1" x14ac:dyDescent="0.4">
      <c r="A1343" s="57"/>
      <c r="B1343" s="58"/>
      <c r="C1343" s="59" t="s">
        <v>11</v>
      </c>
      <c r="D1343" s="58" t="s">
        <v>12</v>
      </c>
      <c r="E1343" s="60">
        <v>68.099999999999994</v>
      </c>
      <c r="F1343" s="60">
        <v>1745.2668000000001</v>
      </c>
    </row>
    <row r="1344" spans="1:6" s="27" customFormat="1" x14ac:dyDescent="0.4">
      <c r="A1344" s="61"/>
      <c r="B1344" s="62"/>
      <c r="C1344" s="63" t="s">
        <v>25</v>
      </c>
      <c r="D1344" s="62" t="s">
        <v>13</v>
      </c>
      <c r="E1344" s="64">
        <v>1.95</v>
      </c>
      <c r="F1344" s="64">
        <v>49.974600000000002</v>
      </c>
    </row>
    <row r="1345" spans="1:6" s="27" customFormat="1" x14ac:dyDescent="0.4">
      <c r="A1345" s="69"/>
      <c r="B1345" s="70"/>
      <c r="C1345" s="71" t="s">
        <v>698</v>
      </c>
      <c r="D1345" s="70" t="s">
        <v>14</v>
      </c>
      <c r="E1345" s="72">
        <v>0.96199999999999997</v>
      </c>
      <c r="F1345" s="72">
        <v>24.6541</v>
      </c>
    </row>
    <row r="1346" spans="1:6" s="27" customFormat="1" x14ac:dyDescent="0.4">
      <c r="A1346" s="76"/>
      <c r="B1346" s="77"/>
      <c r="C1346" s="78" t="s">
        <v>699</v>
      </c>
      <c r="D1346" s="77" t="s">
        <v>14</v>
      </c>
      <c r="E1346" s="79">
        <v>0.02</v>
      </c>
      <c r="F1346" s="79">
        <v>0.51256000000000002</v>
      </c>
    </row>
    <row r="1347" spans="1:6" s="27" customFormat="1" ht="58.15" x14ac:dyDescent="0.4">
      <c r="A1347" s="54" t="s">
        <v>363</v>
      </c>
      <c r="B1347" s="55" t="s">
        <v>955</v>
      </c>
      <c r="C1347" s="55" t="s">
        <v>956</v>
      </c>
      <c r="D1347" s="56" t="s">
        <v>664</v>
      </c>
      <c r="E1347" s="106">
        <v>-25.628</v>
      </c>
      <c r="F1347" s="107"/>
    </row>
    <row r="1348" spans="1:6" s="27" customFormat="1" x14ac:dyDescent="0.4">
      <c r="A1348" s="57"/>
      <c r="B1348" s="58"/>
      <c r="C1348" s="59" t="s">
        <v>11</v>
      </c>
      <c r="D1348" s="58" t="s">
        <v>12</v>
      </c>
      <c r="E1348" s="60">
        <v>30.65</v>
      </c>
      <c r="F1348" s="60">
        <v>-785.4982</v>
      </c>
    </row>
    <row r="1349" spans="1:6" s="27" customFormat="1" x14ac:dyDescent="0.4">
      <c r="A1349" s="61"/>
      <c r="B1349" s="62"/>
      <c r="C1349" s="63" t="s">
        <v>25</v>
      </c>
      <c r="D1349" s="62" t="s">
        <v>13</v>
      </c>
      <c r="E1349" s="64">
        <v>0.97499999999999998</v>
      </c>
      <c r="F1349" s="64">
        <v>-24.987300000000001</v>
      </c>
    </row>
    <row r="1350" spans="1:6" s="27" customFormat="1" x14ac:dyDescent="0.4">
      <c r="A1350" s="69"/>
      <c r="B1350" s="70"/>
      <c r="C1350" s="71" t="s">
        <v>698</v>
      </c>
      <c r="D1350" s="70" t="s">
        <v>14</v>
      </c>
      <c r="E1350" s="72">
        <v>0.48099999999999998</v>
      </c>
      <c r="F1350" s="72">
        <v>-12.3271</v>
      </c>
    </row>
    <row r="1351" spans="1:6" s="27" customFormat="1" ht="58.15" x14ac:dyDescent="0.4">
      <c r="A1351" s="54" t="s">
        <v>364</v>
      </c>
      <c r="B1351" s="55" t="s">
        <v>709</v>
      </c>
      <c r="C1351" s="55" t="s">
        <v>710</v>
      </c>
      <c r="D1351" s="56" t="s">
        <v>703</v>
      </c>
      <c r="E1351" s="106">
        <v>25.628</v>
      </c>
      <c r="F1351" s="107"/>
    </row>
    <row r="1352" spans="1:6" s="27" customFormat="1" x14ac:dyDescent="0.4">
      <c r="A1352" s="57"/>
      <c r="B1352" s="58"/>
      <c r="C1352" s="59" t="s">
        <v>11</v>
      </c>
      <c r="D1352" s="58" t="s">
        <v>12</v>
      </c>
      <c r="E1352" s="60">
        <v>28.6</v>
      </c>
      <c r="F1352" s="60">
        <v>732.96079999999995</v>
      </c>
    </row>
    <row r="1353" spans="1:6" s="27" customFormat="1" x14ac:dyDescent="0.4">
      <c r="A1353" s="61"/>
      <c r="B1353" s="62"/>
      <c r="C1353" s="63" t="s">
        <v>19</v>
      </c>
      <c r="D1353" s="62" t="s">
        <v>13</v>
      </c>
      <c r="E1353" s="64">
        <v>0.1</v>
      </c>
      <c r="F1353" s="64">
        <v>2.5628000000000002</v>
      </c>
    </row>
    <row r="1354" spans="1:6" s="27" customFormat="1" x14ac:dyDescent="0.4">
      <c r="A1354" s="69"/>
      <c r="B1354" s="70"/>
      <c r="C1354" s="71" t="s">
        <v>704</v>
      </c>
      <c r="D1354" s="70" t="s">
        <v>14</v>
      </c>
      <c r="E1354" s="72">
        <v>6.9000000000000006E-2</v>
      </c>
      <c r="F1354" s="72">
        <v>1.7683</v>
      </c>
    </row>
    <row r="1355" spans="1:6" s="27" customFormat="1" x14ac:dyDescent="0.4">
      <c r="A1355" s="76"/>
      <c r="B1355" s="77"/>
      <c r="C1355" s="78" t="s">
        <v>705</v>
      </c>
      <c r="D1355" s="77" t="s">
        <v>14</v>
      </c>
      <c r="E1355" s="79">
        <v>5.4999999999999997E-3</v>
      </c>
      <c r="F1355" s="79">
        <v>0.140954</v>
      </c>
    </row>
    <row r="1356" spans="1:6" s="27" customFormat="1" x14ac:dyDescent="0.4">
      <c r="A1356" s="76"/>
      <c r="B1356" s="77"/>
      <c r="C1356" s="78" t="s">
        <v>691</v>
      </c>
      <c r="D1356" s="77" t="s">
        <v>21</v>
      </c>
      <c r="E1356" s="79">
        <v>0.84</v>
      </c>
      <c r="F1356" s="79">
        <v>21.5275</v>
      </c>
    </row>
    <row r="1357" spans="1:6" s="27" customFormat="1" x14ac:dyDescent="0.4">
      <c r="A1357" s="51"/>
      <c r="B1357" s="52"/>
      <c r="C1357" s="110" t="s">
        <v>962</v>
      </c>
      <c r="D1357" s="110"/>
      <c r="E1357" s="52"/>
      <c r="F1357" s="53"/>
    </row>
    <row r="1358" spans="1:6" s="27" customFormat="1" ht="46.5" x14ac:dyDescent="0.4">
      <c r="A1358" s="54" t="s">
        <v>365</v>
      </c>
      <c r="B1358" s="55" t="s">
        <v>926</v>
      </c>
      <c r="C1358" s="55" t="s">
        <v>963</v>
      </c>
      <c r="D1358" s="56" t="s">
        <v>928</v>
      </c>
      <c r="E1358" s="106">
        <v>2.2160000000000002</v>
      </c>
      <c r="F1358" s="107"/>
    </row>
    <row r="1359" spans="1:6" s="27" customFormat="1" x14ac:dyDescent="0.4">
      <c r="A1359" s="57"/>
      <c r="B1359" s="58"/>
      <c r="C1359" s="59" t="s">
        <v>11</v>
      </c>
      <c r="D1359" s="58" t="s">
        <v>12</v>
      </c>
      <c r="E1359" s="60">
        <v>155.30000000000001</v>
      </c>
      <c r="F1359" s="60">
        <v>344.14479999999998</v>
      </c>
    </row>
    <row r="1360" spans="1:6" s="27" customFormat="1" x14ac:dyDescent="0.4">
      <c r="A1360" s="61"/>
      <c r="B1360" s="62"/>
      <c r="C1360" s="63" t="s">
        <v>25</v>
      </c>
      <c r="D1360" s="62" t="s">
        <v>13</v>
      </c>
      <c r="E1360" s="64">
        <v>3.21</v>
      </c>
      <c r="F1360" s="64">
        <v>7.1134000000000004</v>
      </c>
    </row>
    <row r="1361" spans="1:6" s="27" customFormat="1" x14ac:dyDescent="0.4">
      <c r="A1361" s="65"/>
      <c r="B1361" s="66"/>
      <c r="C1361" s="67" t="s">
        <v>654</v>
      </c>
      <c r="D1361" s="66" t="s">
        <v>13</v>
      </c>
      <c r="E1361" s="68">
        <v>0.55000000000000004</v>
      </c>
      <c r="F1361" s="68">
        <v>1.2188000000000001</v>
      </c>
    </row>
    <row r="1362" spans="1:6" s="27" customFormat="1" x14ac:dyDescent="0.4">
      <c r="A1362" s="65"/>
      <c r="B1362" s="66"/>
      <c r="C1362" s="67" t="s">
        <v>19</v>
      </c>
      <c r="D1362" s="66" t="s">
        <v>13</v>
      </c>
      <c r="E1362" s="68">
        <v>0.69</v>
      </c>
      <c r="F1362" s="68">
        <v>1.5289999999999999</v>
      </c>
    </row>
    <row r="1363" spans="1:6" s="27" customFormat="1" x14ac:dyDescent="0.4">
      <c r="A1363" s="69"/>
      <c r="B1363" s="70"/>
      <c r="C1363" s="71" t="s">
        <v>929</v>
      </c>
      <c r="D1363" s="70" t="s">
        <v>31</v>
      </c>
      <c r="E1363" s="73">
        <v>110</v>
      </c>
      <c r="F1363" s="72">
        <v>243.76</v>
      </c>
    </row>
    <row r="1364" spans="1:6" s="27" customFormat="1" x14ac:dyDescent="0.4">
      <c r="A1364" s="76"/>
      <c r="B1364" s="77"/>
      <c r="C1364" s="78" t="s">
        <v>20</v>
      </c>
      <c r="D1364" s="77" t="s">
        <v>14</v>
      </c>
      <c r="E1364" s="79">
        <v>1E-3</v>
      </c>
      <c r="F1364" s="79">
        <v>2.2160000000000001E-3</v>
      </c>
    </row>
    <row r="1365" spans="1:6" s="27" customFormat="1" x14ac:dyDescent="0.4">
      <c r="A1365" s="76"/>
      <c r="B1365" s="77"/>
      <c r="C1365" s="78" t="s">
        <v>930</v>
      </c>
      <c r="D1365" s="77" t="s">
        <v>23</v>
      </c>
      <c r="E1365" s="79">
        <v>0.41</v>
      </c>
      <c r="F1365" s="79">
        <v>0.90856000000000003</v>
      </c>
    </row>
    <row r="1366" spans="1:6" s="27" customFormat="1" x14ac:dyDescent="0.4">
      <c r="A1366" s="76"/>
      <c r="B1366" s="77"/>
      <c r="C1366" s="78" t="s">
        <v>931</v>
      </c>
      <c r="D1366" s="77" t="s">
        <v>14</v>
      </c>
      <c r="E1366" s="79">
        <v>2.8E-3</v>
      </c>
      <c r="F1366" s="79">
        <v>6.2049999999999996E-3</v>
      </c>
    </row>
    <row r="1367" spans="1:6" s="27" customFormat="1" x14ac:dyDescent="0.4">
      <c r="A1367" s="76"/>
      <c r="B1367" s="77"/>
      <c r="C1367" s="78" t="s">
        <v>932</v>
      </c>
      <c r="D1367" s="77" t="s">
        <v>21</v>
      </c>
      <c r="E1367" s="80">
        <v>105</v>
      </c>
      <c r="F1367" s="79">
        <v>232.68</v>
      </c>
    </row>
    <row r="1368" spans="1:6" s="27" customFormat="1" x14ac:dyDescent="0.4">
      <c r="A1368" s="76"/>
      <c r="B1368" s="77"/>
      <c r="C1368" s="78" t="s">
        <v>933</v>
      </c>
      <c r="D1368" s="77" t="s">
        <v>14</v>
      </c>
      <c r="E1368" s="79">
        <v>2.0999999999999999E-3</v>
      </c>
      <c r="F1368" s="79">
        <v>4.6540000000000002E-3</v>
      </c>
    </row>
    <row r="1369" spans="1:6" s="27" customFormat="1" x14ac:dyDescent="0.4">
      <c r="A1369" s="51"/>
      <c r="B1369" s="52"/>
      <c r="C1369" s="110" t="s">
        <v>964</v>
      </c>
      <c r="D1369" s="110"/>
      <c r="E1369" s="52"/>
      <c r="F1369" s="53"/>
    </row>
    <row r="1370" spans="1:6" s="27" customFormat="1" ht="23.25" x14ac:dyDescent="0.4">
      <c r="A1370" s="54" t="s">
        <v>366</v>
      </c>
      <c r="B1370" s="55" t="s">
        <v>941</v>
      </c>
      <c r="C1370" s="55" t="s">
        <v>942</v>
      </c>
      <c r="D1370" s="56" t="s">
        <v>508</v>
      </c>
      <c r="E1370" s="106">
        <v>6.1719999999999997</v>
      </c>
      <c r="F1370" s="107"/>
    </row>
    <row r="1371" spans="1:6" s="27" customFormat="1" x14ac:dyDescent="0.4">
      <c r="A1371" s="57"/>
      <c r="B1371" s="58"/>
      <c r="C1371" s="59" t="s">
        <v>11</v>
      </c>
      <c r="D1371" s="58" t="s">
        <v>12</v>
      </c>
      <c r="E1371" s="60">
        <v>387.13</v>
      </c>
      <c r="F1371" s="60">
        <v>2389.3663999999999</v>
      </c>
    </row>
    <row r="1372" spans="1:6" s="27" customFormat="1" x14ac:dyDescent="0.4">
      <c r="A1372" s="61"/>
      <c r="B1372" s="62"/>
      <c r="C1372" s="63" t="s">
        <v>25</v>
      </c>
      <c r="D1372" s="62" t="s">
        <v>13</v>
      </c>
      <c r="E1372" s="64">
        <v>41.4</v>
      </c>
      <c r="F1372" s="64">
        <v>255.52080000000001</v>
      </c>
    </row>
    <row r="1373" spans="1:6" s="27" customFormat="1" x14ac:dyDescent="0.4">
      <c r="A1373" s="65"/>
      <c r="B1373" s="66"/>
      <c r="C1373" s="67" t="s">
        <v>654</v>
      </c>
      <c r="D1373" s="66" t="s">
        <v>13</v>
      </c>
      <c r="E1373" s="68">
        <v>137.69999999999999</v>
      </c>
      <c r="F1373" s="68">
        <v>849.88440000000003</v>
      </c>
    </row>
    <row r="1374" spans="1:6" s="27" customFormat="1" x14ac:dyDescent="0.4">
      <c r="A1374" s="65"/>
      <c r="B1374" s="66"/>
      <c r="C1374" s="67" t="s">
        <v>73</v>
      </c>
      <c r="D1374" s="66" t="s">
        <v>13</v>
      </c>
      <c r="E1374" s="68">
        <v>59.28</v>
      </c>
      <c r="F1374" s="68">
        <v>365.87619999999998</v>
      </c>
    </row>
    <row r="1375" spans="1:6" s="27" customFormat="1" x14ac:dyDescent="0.4">
      <c r="A1375" s="69"/>
      <c r="B1375" s="70"/>
      <c r="C1375" s="71" t="s">
        <v>943</v>
      </c>
      <c r="D1375" s="70" t="s">
        <v>14</v>
      </c>
      <c r="E1375" s="72">
        <v>1.46E-2</v>
      </c>
      <c r="F1375" s="72">
        <v>9.0110999999999997E-2</v>
      </c>
    </row>
    <row r="1376" spans="1:6" s="27" customFormat="1" ht="23.25" x14ac:dyDescent="0.4">
      <c r="A1376" s="76"/>
      <c r="B1376" s="77"/>
      <c r="C1376" s="78" t="s">
        <v>944</v>
      </c>
      <c r="D1376" s="77" t="s">
        <v>14</v>
      </c>
      <c r="E1376" s="79">
        <v>3.0999999999999999E-3</v>
      </c>
      <c r="F1376" s="79">
        <v>1.9133000000000001E-2</v>
      </c>
    </row>
    <row r="1377" spans="1:6" s="27" customFormat="1" x14ac:dyDescent="0.4">
      <c r="A1377" s="76"/>
      <c r="B1377" s="77"/>
      <c r="C1377" s="78" t="s">
        <v>945</v>
      </c>
      <c r="D1377" s="77" t="s">
        <v>14</v>
      </c>
      <c r="E1377" s="79">
        <v>8.3000000000000004E-2</v>
      </c>
      <c r="F1377" s="79">
        <v>0.51227599999999995</v>
      </c>
    </row>
    <row r="1378" spans="1:6" s="27" customFormat="1" x14ac:dyDescent="0.4">
      <c r="A1378" s="76"/>
      <c r="B1378" s="77"/>
      <c r="C1378" s="78" t="s">
        <v>946</v>
      </c>
      <c r="D1378" s="77" t="s">
        <v>14</v>
      </c>
      <c r="E1378" s="79">
        <v>2.5000000000000001E-3</v>
      </c>
      <c r="F1378" s="79">
        <v>1.5429999999999999E-2</v>
      </c>
    </row>
    <row r="1379" spans="1:6" s="27" customFormat="1" x14ac:dyDescent="0.4">
      <c r="A1379" s="76"/>
      <c r="B1379" s="77"/>
      <c r="C1379" s="78" t="s">
        <v>947</v>
      </c>
      <c r="D1379" s="77" t="s">
        <v>21</v>
      </c>
      <c r="E1379" s="80">
        <v>108</v>
      </c>
      <c r="F1379" s="79">
        <v>666.57600000000002</v>
      </c>
    </row>
    <row r="1380" spans="1:6" s="27" customFormat="1" x14ac:dyDescent="0.4">
      <c r="A1380" s="76"/>
      <c r="B1380" s="77"/>
      <c r="C1380" s="78" t="s">
        <v>948</v>
      </c>
      <c r="D1380" s="77" t="s">
        <v>587</v>
      </c>
      <c r="E1380" s="79">
        <v>0.9</v>
      </c>
      <c r="F1380" s="79">
        <v>5.5548000000000002</v>
      </c>
    </row>
    <row r="1381" spans="1:6" s="27" customFormat="1" x14ac:dyDescent="0.4">
      <c r="A1381" s="76"/>
      <c r="B1381" s="77"/>
      <c r="C1381" s="78" t="s">
        <v>949</v>
      </c>
      <c r="D1381" s="77" t="s">
        <v>31</v>
      </c>
      <c r="E1381" s="80">
        <v>510</v>
      </c>
      <c r="F1381" s="79">
        <v>3147.72</v>
      </c>
    </row>
    <row r="1382" spans="1:6" s="27" customFormat="1" x14ac:dyDescent="0.4">
      <c r="A1382" s="76"/>
      <c r="B1382" s="77"/>
      <c r="C1382" s="78" t="s">
        <v>950</v>
      </c>
      <c r="D1382" s="77" t="s">
        <v>30</v>
      </c>
      <c r="E1382" s="80">
        <v>300</v>
      </c>
      <c r="F1382" s="79">
        <v>1851.6</v>
      </c>
    </row>
    <row r="1383" spans="1:6" s="27" customFormat="1" x14ac:dyDescent="0.4">
      <c r="A1383" s="76"/>
      <c r="B1383" s="77"/>
      <c r="C1383" s="78" t="s">
        <v>951</v>
      </c>
      <c r="D1383" s="77" t="s">
        <v>30</v>
      </c>
      <c r="E1383" s="80">
        <v>120</v>
      </c>
      <c r="F1383" s="79">
        <v>740.64</v>
      </c>
    </row>
    <row r="1384" spans="1:6" s="27" customFormat="1" x14ac:dyDescent="0.4">
      <c r="A1384" s="76"/>
      <c r="B1384" s="77"/>
      <c r="C1384" s="78" t="s">
        <v>952</v>
      </c>
      <c r="D1384" s="77" t="s">
        <v>30</v>
      </c>
      <c r="E1384" s="80">
        <v>72</v>
      </c>
      <c r="F1384" s="79">
        <v>444.38400000000001</v>
      </c>
    </row>
    <row r="1385" spans="1:6" s="27" customFormat="1" x14ac:dyDescent="0.4">
      <c r="A1385" s="76"/>
      <c r="B1385" s="77"/>
      <c r="C1385" s="78" t="s">
        <v>953</v>
      </c>
      <c r="D1385" s="77" t="s">
        <v>30</v>
      </c>
      <c r="E1385" s="80">
        <v>72</v>
      </c>
      <c r="F1385" s="79">
        <v>444.38400000000001</v>
      </c>
    </row>
    <row r="1386" spans="1:6" s="27" customFormat="1" x14ac:dyDescent="0.4">
      <c r="A1386" s="76"/>
      <c r="B1386" s="77"/>
      <c r="C1386" s="78" t="s">
        <v>954</v>
      </c>
      <c r="D1386" s="77" t="s">
        <v>30</v>
      </c>
      <c r="E1386" s="80">
        <v>150</v>
      </c>
      <c r="F1386" s="79">
        <v>925.8</v>
      </c>
    </row>
    <row r="1387" spans="1:6" s="27" customFormat="1" ht="58.15" x14ac:dyDescent="0.4">
      <c r="A1387" s="54" t="s">
        <v>367</v>
      </c>
      <c r="B1387" s="55" t="s">
        <v>707</v>
      </c>
      <c r="C1387" s="55" t="s">
        <v>708</v>
      </c>
      <c r="D1387" s="56" t="s">
        <v>664</v>
      </c>
      <c r="E1387" s="106">
        <v>6.1719999999999997</v>
      </c>
      <c r="F1387" s="107"/>
    </row>
    <row r="1388" spans="1:6" s="27" customFormat="1" x14ac:dyDescent="0.4">
      <c r="A1388" s="57"/>
      <c r="B1388" s="58"/>
      <c r="C1388" s="59" t="s">
        <v>11</v>
      </c>
      <c r="D1388" s="58" t="s">
        <v>12</v>
      </c>
      <c r="E1388" s="60">
        <v>68.099999999999994</v>
      </c>
      <c r="F1388" s="60">
        <v>420.31319999999999</v>
      </c>
    </row>
    <row r="1389" spans="1:6" s="27" customFormat="1" x14ac:dyDescent="0.4">
      <c r="A1389" s="61"/>
      <c r="B1389" s="62"/>
      <c r="C1389" s="63" t="s">
        <v>25</v>
      </c>
      <c r="D1389" s="62" t="s">
        <v>13</v>
      </c>
      <c r="E1389" s="64">
        <v>1.95</v>
      </c>
      <c r="F1389" s="64">
        <v>12.035399999999999</v>
      </c>
    </row>
    <row r="1390" spans="1:6" s="27" customFormat="1" x14ac:dyDescent="0.4">
      <c r="A1390" s="69"/>
      <c r="B1390" s="70"/>
      <c r="C1390" s="71" t="s">
        <v>698</v>
      </c>
      <c r="D1390" s="70" t="s">
        <v>14</v>
      </c>
      <c r="E1390" s="72">
        <v>0.96199999999999997</v>
      </c>
      <c r="F1390" s="72">
        <v>5.9375</v>
      </c>
    </row>
    <row r="1391" spans="1:6" s="27" customFormat="1" x14ac:dyDescent="0.4">
      <c r="A1391" s="76"/>
      <c r="B1391" s="77"/>
      <c r="C1391" s="78" t="s">
        <v>699</v>
      </c>
      <c r="D1391" s="77" t="s">
        <v>14</v>
      </c>
      <c r="E1391" s="79">
        <v>0.02</v>
      </c>
      <c r="F1391" s="79">
        <v>0.12343999999999999</v>
      </c>
    </row>
    <row r="1392" spans="1:6" s="27" customFormat="1" ht="58.15" x14ac:dyDescent="0.4">
      <c r="A1392" s="54" t="s">
        <v>368</v>
      </c>
      <c r="B1392" s="55" t="s">
        <v>955</v>
      </c>
      <c r="C1392" s="55" t="s">
        <v>956</v>
      </c>
      <c r="D1392" s="56" t="s">
        <v>664</v>
      </c>
      <c r="E1392" s="106">
        <v>-6.1719999999999997</v>
      </c>
      <c r="F1392" s="107"/>
    </row>
    <row r="1393" spans="1:6" s="27" customFormat="1" x14ac:dyDescent="0.4">
      <c r="A1393" s="57"/>
      <c r="B1393" s="58"/>
      <c r="C1393" s="59" t="s">
        <v>11</v>
      </c>
      <c r="D1393" s="58" t="s">
        <v>12</v>
      </c>
      <c r="E1393" s="60">
        <v>30.65</v>
      </c>
      <c r="F1393" s="60">
        <v>-189.17179999999999</v>
      </c>
    </row>
    <row r="1394" spans="1:6" s="27" customFormat="1" x14ac:dyDescent="0.4">
      <c r="A1394" s="61"/>
      <c r="B1394" s="62"/>
      <c r="C1394" s="63" t="s">
        <v>25</v>
      </c>
      <c r="D1394" s="62" t="s">
        <v>13</v>
      </c>
      <c r="E1394" s="64">
        <v>0.97499999999999998</v>
      </c>
      <c r="F1394" s="64">
        <v>-6.0176999999999996</v>
      </c>
    </row>
    <row r="1395" spans="1:6" s="27" customFormat="1" x14ac:dyDescent="0.4">
      <c r="A1395" s="69"/>
      <c r="B1395" s="70"/>
      <c r="C1395" s="71" t="s">
        <v>698</v>
      </c>
      <c r="D1395" s="70" t="s">
        <v>14</v>
      </c>
      <c r="E1395" s="72">
        <v>0.48099999999999998</v>
      </c>
      <c r="F1395" s="72">
        <v>-2.9687000000000001</v>
      </c>
    </row>
    <row r="1396" spans="1:6" s="27" customFormat="1" ht="58.15" x14ac:dyDescent="0.4">
      <c r="A1396" s="54" t="s">
        <v>369</v>
      </c>
      <c r="B1396" s="55" t="s">
        <v>709</v>
      </c>
      <c r="C1396" s="55" t="s">
        <v>710</v>
      </c>
      <c r="D1396" s="56" t="s">
        <v>703</v>
      </c>
      <c r="E1396" s="106">
        <v>6.1719999999999997</v>
      </c>
      <c r="F1396" s="107"/>
    </row>
    <row r="1397" spans="1:6" s="27" customFormat="1" x14ac:dyDescent="0.4">
      <c r="A1397" s="57"/>
      <c r="B1397" s="58"/>
      <c r="C1397" s="59" t="s">
        <v>11</v>
      </c>
      <c r="D1397" s="58" t="s">
        <v>12</v>
      </c>
      <c r="E1397" s="60">
        <v>28.6</v>
      </c>
      <c r="F1397" s="60">
        <v>176.51920000000001</v>
      </c>
    </row>
    <row r="1398" spans="1:6" s="27" customFormat="1" x14ac:dyDescent="0.4">
      <c r="A1398" s="61"/>
      <c r="B1398" s="62"/>
      <c r="C1398" s="63" t="s">
        <v>19</v>
      </c>
      <c r="D1398" s="62" t="s">
        <v>13</v>
      </c>
      <c r="E1398" s="64">
        <v>0.1</v>
      </c>
      <c r="F1398" s="64">
        <v>0.61719999999999997</v>
      </c>
    </row>
    <row r="1399" spans="1:6" s="27" customFormat="1" x14ac:dyDescent="0.4">
      <c r="A1399" s="69"/>
      <c r="B1399" s="70"/>
      <c r="C1399" s="71" t="s">
        <v>704</v>
      </c>
      <c r="D1399" s="70" t="s">
        <v>14</v>
      </c>
      <c r="E1399" s="72">
        <v>6.9000000000000006E-2</v>
      </c>
      <c r="F1399" s="72">
        <v>0.42586800000000002</v>
      </c>
    </row>
    <row r="1400" spans="1:6" s="27" customFormat="1" x14ac:dyDescent="0.4">
      <c r="A1400" s="76"/>
      <c r="B1400" s="77"/>
      <c r="C1400" s="78" t="s">
        <v>705</v>
      </c>
      <c r="D1400" s="77" t="s">
        <v>14</v>
      </c>
      <c r="E1400" s="79">
        <v>5.4999999999999997E-3</v>
      </c>
      <c r="F1400" s="79">
        <v>3.3945999999999997E-2</v>
      </c>
    </row>
    <row r="1401" spans="1:6" s="27" customFormat="1" x14ac:dyDescent="0.4">
      <c r="A1401" s="76"/>
      <c r="B1401" s="77"/>
      <c r="C1401" s="78" t="s">
        <v>691</v>
      </c>
      <c r="D1401" s="77" t="s">
        <v>21</v>
      </c>
      <c r="E1401" s="79">
        <v>0.84</v>
      </c>
      <c r="F1401" s="79">
        <v>5.1844999999999999</v>
      </c>
    </row>
    <row r="1402" spans="1:6" s="27" customFormat="1" x14ac:dyDescent="0.4">
      <c r="A1402" s="51"/>
      <c r="B1402" s="52"/>
      <c r="C1402" s="110" t="s">
        <v>965</v>
      </c>
      <c r="D1402" s="110"/>
      <c r="E1402" s="52"/>
      <c r="F1402" s="53"/>
    </row>
    <row r="1403" spans="1:6" s="27" customFormat="1" ht="58.15" x14ac:dyDescent="0.4">
      <c r="A1403" s="54" t="s">
        <v>371</v>
      </c>
      <c r="B1403" s="55" t="s">
        <v>707</v>
      </c>
      <c r="C1403" s="55" t="s">
        <v>708</v>
      </c>
      <c r="D1403" s="56" t="s">
        <v>664</v>
      </c>
      <c r="E1403" s="106">
        <v>1.5029999999999999</v>
      </c>
      <c r="F1403" s="107"/>
    </row>
    <row r="1404" spans="1:6" s="27" customFormat="1" x14ac:dyDescent="0.4">
      <c r="A1404" s="57"/>
      <c r="B1404" s="58"/>
      <c r="C1404" s="59" t="s">
        <v>11</v>
      </c>
      <c r="D1404" s="58" t="s">
        <v>12</v>
      </c>
      <c r="E1404" s="60">
        <v>68.099999999999994</v>
      </c>
      <c r="F1404" s="60">
        <v>102.35429999999999</v>
      </c>
    </row>
    <row r="1405" spans="1:6" s="27" customFormat="1" x14ac:dyDescent="0.4">
      <c r="A1405" s="61"/>
      <c r="B1405" s="62"/>
      <c r="C1405" s="63" t="s">
        <v>25</v>
      </c>
      <c r="D1405" s="62" t="s">
        <v>13</v>
      </c>
      <c r="E1405" s="64">
        <v>1.95</v>
      </c>
      <c r="F1405" s="64">
        <v>2.9308000000000001</v>
      </c>
    </row>
    <row r="1406" spans="1:6" s="27" customFormat="1" x14ac:dyDescent="0.4">
      <c r="A1406" s="69"/>
      <c r="B1406" s="70"/>
      <c r="C1406" s="71" t="s">
        <v>698</v>
      </c>
      <c r="D1406" s="70" t="s">
        <v>14</v>
      </c>
      <c r="E1406" s="72">
        <v>0.96199999999999997</v>
      </c>
      <c r="F1406" s="72">
        <v>1.4459</v>
      </c>
    </row>
    <row r="1407" spans="1:6" s="27" customFormat="1" x14ac:dyDescent="0.4">
      <c r="A1407" s="76"/>
      <c r="B1407" s="77"/>
      <c r="C1407" s="78" t="s">
        <v>699</v>
      </c>
      <c r="D1407" s="77" t="s">
        <v>14</v>
      </c>
      <c r="E1407" s="79">
        <v>0.02</v>
      </c>
      <c r="F1407" s="79">
        <v>3.006E-2</v>
      </c>
    </row>
    <row r="1408" spans="1:6" s="27" customFormat="1" ht="58.15" x14ac:dyDescent="0.4">
      <c r="A1408" s="54" t="s">
        <v>372</v>
      </c>
      <c r="B1408" s="55" t="s">
        <v>709</v>
      </c>
      <c r="C1408" s="55" t="s">
        <v>710</v>
      </c>
      <c r="D1408" s="56" t="s">
        <v>703</v>
      </c>
      <c r="E1408" s="106">
        <v>1.5029999999999999</v>
      </c>
      <c r="F1408" s="107"/>
    </row>
    <row r="1409" spans="1:6" s="27" customFormat="1" x14ac:dyDescent="0.4">
      <c r="A1409" s="57"/>
      <c r="B1409" s="58"/>
      <c r="C1409" s="59" t="s">
        <v>11</v>
      </c>
      <c r="D1409" s="58" t="s">
        <v>12</v>
      </c>
      <c r="E1409" s="60">
        <v>28.6</v>
      </c>
      <c r="F1409" s="60">
        <v>42.985799999999998</v>
      </c>
    </row>
    <row r="1410" spans="1:6" s="27" customFormat="1" x14ac:dyDescent="0.4">
      <c r="A1410" s="61"/>
      <c r="B1410" s="62"/>
      <c r="C1410" s="63" t="s">
        <v>19</v>
      </c>
      <c r="D1410" s="62" t="s">
        <v>13</v>
      </c>
      <c r="E1410" s="64">
        <v>0.1</v>
      </c>
      <c r="F1410" s="64">
        <v>0.15029999999999999</v>
      </c>
    </row>
    <row r="1411" spans="1:6" s="27" customFormat="1" x14ac:dyDescent="0.4">
      <c r="A1411" s="69"/>
      <c r="B1411" s="70"/>
      <c r="C1411" s="71" t="s">
        <v>704</v>
      </c>
      <c r="D1411" s="70" t="s">
        <v>14</v>
      </c>
      <c r="E1411" s="72">
        <v>6.9000000000000006E-2</v>
      </c>
      <c r="F1411" s="72">
        <v>0.10370699999999999</v>
      </c>
    </row>
    <row r="1412" spans="1:6" s="27" customFormat="1" x14ac:dyDescent="0.4">
      <c r="A1412" s="76"/>
      <c r="B1412" s="77"/>
      <c r="C1412" s="78" t="s">
        <v>705</v>
      </c>
      <c r="D1412" s="77" t="s">
        <v>14</v>
      </c>
      <c r="E1412" s="79">
        <v>5.4999999999999997E-3</v>
      </c>
      <c r="F1412" s="79">
        <v>8.2660000000000008E-3</v>
      </c>
    </row>
    <row r="1413" spans="1:6" s="27" customFormat="1" x14ac:dyDescent="0.4">
      <c r="A1413" s="76"/>
      <c r="B1413" s="77"/>
      <c r="C1413" s="78" t="s">
        <v>691</v>
      </c>
      <c r="D1413" s="77" t="s">
        <v>21</v>
      </c>
      <c r="E1413" s="79">
        <v>0.84</v>
      </c>
      <c r="F1413" s="79">
        <v>1.2625</v>
      </c>
    </row>
    <row r="1414" spans="1:6" s="27" customFormat="1" x14ac:dyDescent="0.4">
      <c r="A1414" s="51"/>
      <c r="B1414" s="52"/>
      <c r="C1414" s="110" t="s">
        <v>692</v>
      </c>
      <c r="D1414" s="110"/>
      <c r="E1414" s="52"/>
      <c r="F1414" s="53"/>
    </row>
    <row r="1415" spans="1:6" s="27" customFormat="1" x14ac:dyDescent="0.4">
      <c r="A1415" s="51"/>
      <c r="B1415" s="52"/>
      <c r="C1415" s="110" t="s">
        <v>939</v>
      </c>
      <c r="D1415" s="110"/>
      <c r="E1415" s="52"/>
      <c r="F1415" s="53"/>
    </row>
    <row r="1416" spans="1:6" s="27" customFormat="1" ht="58.15" x14ac:dyDescent="0.4">
      <c r="A1416" s="54" t="s">
        <v>373</v>
      </c>
      <c r="B1416" s="55" t="s">
        <v>693</v>
      </c>
      <c r="C1416" s="55" t="s">
        <v>694</v>
      </c>
      <c r="D1416" s="56" t="s">
        <v>664</v>
      </c>
      <c r="E1416" s="106">
        <v>9.0739999999999998</v>
      </c>
      <c r="F1416" s="107"/>
    </row>
    <row r="1417" spans="1:6" s="27" customFormat="1" x14ac:dyDescent="0.4">
      <c r="A1417" s="57"/>
      <c r="B1417" s="58"/>
      <c r="C1417" s="59" t="s">
        <v>11</v>
      </c>
      <c r="D1417" s="58" t="s">
        <v>12</v>
      </c>
      <c r="E1417" s="60">
        <v>75.400000000000006</v>
      </c>
      <c r="F1417" s="60">
        <v>684.17960000000005</v>
      </c>
    </row>
    <row r="1418" spans="1:6" s="27" customFormat="1" x14ac:dyDescent="0.4">
      <c r="A1418" s="61"/>
      <c r="B1418" s="62"/>
      <c r="C1418" s="63" t="s">
        <v>695</v>
      </c>
      <c r="D1418" s="62" t="s">
        <v>13</v>
      </c>
      <c r="E1418" s="64">
        <v>5.45</v>
      </c>
      <c r="F1418" s="64">
        <v>49.453299999999999</v>
      </c>
    </row>
    <row r="1419" spans="1:6" s="27" customFormat="1" x14ac:dyDescent="0.4">
      <c r="A1419" s="69"/>
      <c r="B1419" s="70"/>
      <c r="C1419" s="71" t="s">
        <v>696</v>
      </c>
      <c r="D1419" s="70" t="s">
        <v>23</v>
      </c>
      <c r="E1419" s="72">
        <v>1.51</v>
      </c>
      <c r="F1419" s="72">
        <v>13.701700000000001</v>
      </c>
    </row>
    <row r="1420" spans="1:6" s="27" customFormat="1" x14ac:dyDescent="0.4">
      <c r="A1420" s="76"/>
      <c r="B1420" s="77"/>
      <c r="C1420" s="78" t="s">
        <v>666</v>
      </c>
      <c r="D1420" s="77" t="s">
        <v>14</v>
      </c>
      <c r="E1420" s="79">
        <v>6.9999999999999994E-5</v>
      </c>
      <c r="F1420" s="79">
        <v>6.3500000000000004E-4</v>
      </c>
    </row>
    <row r="1421" spans="1:6" s="27" customFormat="1" x14ac:dyDescent="0.4">
      <c r="A1421" s="76"/>
      <c r="B1421" s="77"/>
      <c r="C1421" s="78" t="s">
        <v>106</v>
      </c>
      <c r="D1421" s="77" t="s">
        <v>14</v>
      </c>
      <c r="E1421" s="79">
        <v>6.0000000000000001E-3</v>
      </c>
      <c r="F1421" s="79">
        <v>5.4443999999999999E-2</v>
      </c>
    </row>
    <row r="1422" spans="1:6" s="27" customFormat="1" x14ac:dyDescent="0.4">
      <c r="A1422" s="76"/>
      <c r="B1422" s="77"/>
      <c r="C1422" s="78" t="s">
        <v>667</v>
      </c>
      <c r="D1422" s="77" t="s">
        <v>21</v>
      </c>
      <c r="E1422" s="79">
        <v>2.77</v>
      </c>
      <c r="F1422" s="79">
        <v>25.135000000000002</v>
      </c>
    </row>
    <row r="1423" spans="1:6" s="27" customFormat="1" ht="58.15" x14ac:dyDescent="0.4">
      <c r="A1423" s="54" t="s">
        <v>374</v>
      </c>
      <c r="B1423" s="55" t="s">
        <v>966</v>
      </c>
      <c r="C1423" s="55" t="s">
        <v>697</v>
      </c>
      <c r="D1423" s="56" t="s">
        <v>664</v>
      </c>
      <c r="E1423" s="106">
        <v>9.0739999999999998</v>
      </c>
      <c r="F1423" s="107"/>
    </row>
    <row r="1424" spans="1:6" s="27" customFormat="1" x14ac:dyDescent="0.4">
      <c r="A1424" s="57"/>
      <c r="B1424" s="58"/>
      <c r="C1424" s="59" t="s">
        <v>11</v>
      </c>
      <c r="D1424" s="58" t="s">
        <v>12</v>
      </c>
      <c r="E1424" s="74">
        <v>56</v>
      </c>
      <c r="F1424" s="60">
        <v>508.14400000000001</v>
      </c>
    </row>
    <row r="1425" spans="1:6" s="27" customFormat="1" x14ac:dyDescent="0.4">
      <c r="A1425" s="61"/>
      <c r="B1425" s="62"/>
      <c r="C1425" s="63" t="s">
        <v>25</v>
      </c>
      <c r="D1425" s="62" t="s">
        <v>13</v>
      </c>
      <c r="E1425" s="64">
        <v>1.67</v>
      </c>
      <c r="F1425" s="64">
        <v>15.153600000000001</v>
      </c>
    </row>
    <row r="1426" spans="1:6" s="27" customFormat="1" x14ac:dyDescent="0.4">
      <c r="A1426" s="69"/>
      <c r="B1426" s="70"/>
      <c r="C1426" s="71" t="s">
        <v>698</v>
      </c>
      <c r="D1426" s="70" t="s">
        <v>14</v>
      </c>
      <c r="E1426" s="72">
        <v>0.82499999999999996</v>
      </c>
      <c r="F1426" s="72">
        <v>7.4861000000000004</v>
      </c>
    </row>
    <row r="1427" spans="1:6" s="27" customFormat="1" x14ac:dyDescent="0.4">
      <c r="A1427" s="76"/>
      <c r="B1427" s="77"/>
      <c r="C1427" s="78" t="s">
        <v>699</v>
      </c>
      <c r="D1427" s="77" t="s">
        <v>14</v>
      </c>
      <c r="E1427" s="79">
        <v>1.7999999999999999E-2</v>
      </c>
      <c r="F1427" s="79">
        <v>0.163332</v>
      </c>
    </row>
    <row r="1428" spans="1:6" s="27" customFormat="1" ht="58.15" x14ac:dyDescent="0.4">
      <c r="A1428" s="54" t="s">
        <v>375</v>
      </c>
      <c r="B1428" s="55" t="s">
        <v>967</v>
      </c>
      <c r="C1428" s="55" t="s">
        <v>700</v>
      </c>
      <c r="D1428" s="56" t="s">
        <v>664</v>
      </c>
      <c r="E1428" s="106">
        <v>-9.0739999999999998</v>
      </c>
      <c r="F1428" s="107"/>
    </row>
    <row r="1429" spans="1:6" s="27" customFormat="1" x14ac:dyDescent="0.4">
      <c r="A1429" s="57"/>
      <c r="B1429" s="58"/>
      <c r="C1429" s="59" t="s">
        <v>11</v>
      </c>
      <c r="D1429" s="58" t="s">
        <v>12</v>
      </c>
      <c r="E1429" s="74">
        <v>30</v>
      </c>
      <c r="F1429" s="60">
        <v>-272.22000000000003</v>
      </c>
    </row>
    <row r="1430" spans="1:6" s="27" customFormat="1" x14ac:dyDescent="0.4">
      <c r="A1430" s="61"/>
      <c r="B1430" s="62"/>
      <c r="C1430" s="63" t="s">
        <v>25</v>
      </c>
      <c r="D1430" s="62" t="s">
        <v>13</v>
      </c>
      <c r="E1430" s="64">
        <v>1.002</v>
      </c>
      <c r="F1430" s="64">
        <v>-9.0921000000000003</v>
      </c>
    </row>
    <row r="1431" spans="1:6" s="27" customFormat="1" x14ac:dyDescent="0.4">
      <c r="A1431" s="69"/>
      <c r="B1431" s="70"/>
      <c r="C1431" s="71" t="s">
        <v>698</v>
      </c>
      <c r="D1431" s="70" t="s">
        <v>14</v>
      </c>
      <c r="E1431" s="72">
        <v>0.495</v>
      </c>
      <c r="F1431" s="72">
        <v>-4.4916</v>
      </c>
    </row>
    <row r="1432" spans="1:6" s="27" customFormat="1" ht="58.15" x14ac:dyDescent="0.4">
      <c r="A1432" s="54" t="s">
        <v>376</v>
      </c>
      <c r="B1432" s="55" t="s">
        <v>701</v>
      </c>
      <c r="C1432" s="55" t="s">
        <v>702</v>
      </c>
      <c r="D1432" s="56" t="s">
        <v>703</v>
      </c>
      <c r="E1432" s="106">
        <v>9.0739999999999998</v>
      </c>
      <c r="F1432" s="107"/>
    </row>
    <row r="1433" spans="1:6" s="27" customFormat="1" x14ac:dyDescent="0.4">
      <c r="A1433" s="57"/>
      <c r="B1433" s="58"/>
      <c r="C1433" s="59" t="s">
        <v>11</v>
      </c>
      <c r="D1433" s="58" t="s">
        <v>12</v>
      </c>
      <c r="E1433" s="60">
        <v>25.41</v>
      </c>
      <c r="F1433" s="60">
        <v>230.5703</v>
      </c>
    </row>
    <row r="1434" spans="1:6" s="27" customFormat="1" x14ac:dyDescent="0.4">
      <c r="A1434" s="61"/>
      <c r="B1434" s="62"/>
      <c r="C1434" s="63" t="s">
        <v>19</v>
      </c>
      <c r="D1434" s="62" t="s">
        <v>13</v>
      </c>
      <c r="E1434" s="64">
        <v>0.1</v>
      </c>
      <c r="F1434" s="64">
        <v>0.90739999999999998</v>
      </c>
    </row>
    <row r="1435" spans="1:6" s="27" customFormat="1" x14ac:dyDescent="0.4">
      <c r="A1435" s="69"/>
      <c r="B1435" s="70"/>
      <c r="C1435" s="71" t="s">
        <v>704</v>
      </c>
      <c r="D1435" s="70" t="s">
        <v>14</v>
      </c>
      <c r="E1435" s="72">
        <v>6.3E-2</v>
      </c>
      <c r="F1435" s="72">
        <v>0.571662</v>
      </c>
    </row>
    <row r="1436" spans="1:6" s="27" customFormat="1" x14ac:dyDescent="0.4">
      <c r="A1436" s="76"/>
      <c r="B1436" s="77"/>
      <c r="C1436" s="78" t="s">
        <v>705</v>
      </c>
      <c r="D1436" s="77" t="s">
        <v>14</v>
      </c>
      <c r="E1436" s="79">
        <v>5.0000000000000001E-3</v>
      </c>
      <c r="F1436" s="79">
        <v>4.5370000000000001E-2</v>
      </c>
    </row>
    <row r="1437" spans="1:6" s="27" customFormat="1" x14ac:dyDescent="0.4">
      <c r="A1437" s="76"/>
      <c r="B1437" s="77"/>
      <c r="C1437" s="78" t="s">
        <v>691</v>
      </c>
      <c r="D1437" s="77" t="s">
        <v>21</v>
      </c>
      <c r="E1437" s="79">
        <v>0.84</v>
      </c>
      <c r="F1437" s="79">
        <v>7.6222000000000003</v>
      </c>
    </row>
    <row r="1438" spans="1:6" s="27" customFormat="1" x14ac:dyDescent="0.4">
      <c r="A1438" s="51"/>
      <c r="B1438" s="52"/>
      <c r="C1438" s="110" t="s">
        <v>940</v>
      </c>
      <c r="D1438" s="110"/>
      <c r="E1438" s="52"/>
      <c r="F1438" s="53"/>
    </row>
    <row r="1439" spans="1:6" s="27" customFormat="1" ht="58.15" x14ac:dyDescent="0.4">
      <c r="A1439" s="54" t="s">
        <v>377</v>
      </c>
      <c r="B1439" s="55" t="s">
        <v>693</v>
      </c>
      <c r="C1439" s="55" t="s">
        <v>694</v>
      </c>
      <c r="D1439" s="56" t="s">
        <v>664</v>
      </c>
      <c r="E1439" s="106">
        <v>6.9429999999999996</v>
      </c>
      <c r="F1439" s="107"/>
    </row>
    <row r="1440" spans="1:6" s="27" customFormat="1" x14ac:dyDescent="0.4">
      <c r="A1440" s="57"/>
      <c r="B1440" s="58"/>
      <c r="C1440" s="59" t="s">
        <v>11</v>
      </c>
      <c r="D1440" s="58" t="s">
        <v>12</v>
      </c>
      <c r="E1440" s="60">
        <v>75.400000000000006</v>
      </c>
      <c r="F1440" s="60">
        <v>523.50220000000002</v>
      </c>
    </row>
    <row r="1441" spans="1:6" s="27" customFormat="1" x14ac:dyDescent="0.4">
      <c r="A1441" s="61"/>
      <c r="B1441" s="62"/>
      <c r="C1441" s="63" t="s">
        <v>695</v>
      </c>
      <c r="D1441" s="62" t="s">
        <v>13</v>
      </c>
      <c r="E1441" s="64">
        <v>5.45</v>
      </c>
      <c r="F1441" s="64">
        <v>37.839300000000001</v>
      </c>
    </row>
    <row r="1442" spans="1:6" s="27" customFormat="1" x14ac:dyDescent="0.4">
      <c r="A1442" s="69"/>
      <c r="B1442" s="70"/>
      <c r="C1442" s="71" t="s">
        <v>696</v>
      </c>
      <c r="D1442" s="70" t="s">
        <v>23</v>
      </c>
      <c r="E1442" s="72">
        <v>1.51</v>
      </c>
      <c r="F1442" s="72">
        <v>10.4839</v>
      </c>
    </row>
    <row r="1443" spans="1:6" s="27" customFormat="1" x14ac:dyDescent="0.4">
      <c r="A1443" s="76"/>
      <c r="B1443" s="77"/>
      <c r="C1443" s="78" t="s">
        <v>666</v>
      </c>
      <c r="D1443" s="77" t="s">
        <v>14</v>
      </c>
      <c r="E1443" s="79">
        <v>6.9999999999999994E-5</v>
      </c>
      <c r="F1443" s="79">
        <v>4.86E-4</v>
      </c>
    </row>
    <row r="1444" spans="1:6" s="27" customFormat="1" x14ac:dyDescent="0.4">
      <c r="A1444" s="76"/>
      <c r="B1444" s="77"/>
      <c r="C1444" s="78" t="s">
        <v>106</v>
      </c>
      <c r="D1444" s="77" t="s">
        <v>14</v>
      </c>
      <c r="E1444" s="79">
        <v>6.0000000000000001E-3</v>
      </c>
      <c r="F1444" s="79">
        <v>4.1658000000000001E-2</v>
      </c>
    </row>
    <row r="1445" spans="1:6" s="27" customFormat="1" x14ac:dyDescent="0.4">
      <c r="A1445" s="76"/>
      <c r="B1445" s="77"/>
      <c r="C1445" s="78" t="s">
        <v>667</v>
      </c>
      <c r="D1445" s="77" t="s">
        <v>21</v>
      </c>
      <c r="E1445" s="79">
        <v>2.77</v>
      </c>
      <c r="F1445" s="79">
        <v>19.232099999999999</v>
      </c>
    </row>
    <row r="1446" spans="1:6" s="27" customFormat="1" ht="58.15" x14ac:dyDescent="0.4">
      <c r="A1446" s="54" t="s">
        <v>378</v>
      </c>
      <c r="B1446" s="55" t="s">
        <v>966</v>
      </c>
      <c r="C1446" s="55" t="s">
        <v>697</v>
      </c>
      <c r="D1446" s="56" t="s">
        <v>664</v>
      </c>
      <c r="E1446" s="106">
        <v>6.9429999999999996</v>
      </c>
      <c r="F1446" s="107"/>
    </row>
    <row r="1447" spans="1:6" s="27" customFormat="1" x14ac:dyDescent="0.4">
      <c r="A1447" s="57"/>
      <c r="B1447" s="58"/>
      <c r="C1447" s="59" t="s">
        <v>11</v>
      </c>
      <c r="D1447" s="58" t="s">
        <v>12</v>
      </c>
      <c r="E1447" s="74">
        <v>56</v>
      </c>
      <c r="F1447" s="60">
        <v>388.80799999999999</v>
      </c>
    </row>
    <row r="1448" spans="1:6" s="27" customFormat="1" x14ac:dyDescent="0.4">
      <c r="A1448" s="61"/>
      <c r="B1448" s="62"/>
      <c r="C1448" s="63" t="s">
        <v>25</v>
      </c>
      <c r="D1448" s="62" t="s">
        <v>13</v>
      </c>
      <c r="E1448" s="64">
        <v>1.67</v>
      </c>
      <c r="F1448" s="64">
        <v>11.594799999999999</v>
      </c>
    </row>
    <row r="1449" spans="1:6" s="27" customFormat="1" x14ac:dyDescent="0.4">
      <c r="A1449" s="69"/>
      <c r="B1449" s="70"/>
      <c r="C1449" s="71" t="s">
        <v>698</v>
      </c>
      <c r="D1449" s="70" t="s">
        <v>14</v>
      </c>
      <c r="E1449" s="72">
        <v>0.82499999999999996</v>
      </c>
      <c r="F1449" s="72">
        <v>5.7279999999999998</v>
      </c>
    </row>
    <row r="1450" spans="1:6" s="27" customFormat="1" x14ac:dyDescent="0.4">
      <c r="A1450" s="76"/>
      <c r="B1450" s="77"/>
      <c r="C1450" s="78" t="s">
        <v>699</v>
      </c>
      <c r="D1450" s="77" t="s">
        <v>14</v>
      </c>
      <c r="E1450" s="79">
        <v>1.7999999999999999E-2</v>
      </c>
      <c r="F1450" s="79">
        <v>0.124974</v>
      </c>
    </row>
    <row r="1451" spans="1:6" s="27" customFormat="1" ht="58.15" x14ac:dyDescent="0.4">
      <c r="A1451" s="54" t="s">
        <v>379</v>
      </c>
      <c r="B1451" s="55" t="s">
        <v>967</v>
      </c>
      <c r="C1451" s="55" t="s">
        <v>700</v>
      </c>
      <c r="D1451" s="56" t="s">
        <v>664</v>
      </c>
      <c r="E1451" s="106">
        <v>-6.9429999999999996</v>
      </c>
      <c r="F1451" s="107"/>
    </row>
    <row r="1452" spans="1:6" s="27" customFormat="1" x14ac:dyDescent="0.4">
      <c r="A1452" s="57"/>
      <c r="B1452" s="58"/>
      <c r="C1452" s="59" t="s">
        <v>11</v>
      </c>
      <c r="D1452" s="58" t="s">
        <v>12</v>
      </c>
      <c r="E1452" s="74">
        <v>30</v>
      </c>
      <c r="F1452" s="60">
        <v>-208.29</v>
      </c>
    </row>
    <row r="1453" spans="1:6" s="27" customFormat="1" x14ac:dyDescent="0.4">
      <c r="A1453" s="61"/>
      <c r="B1453" s="62"/>
      <c r="C1453" s="63" t="s">
        <v>25</v>
      </c>
      <c r="D1453" s="62" t="s">
        <v>13</v>
      </c>
      <c r="E1453" s="64">
        <v>1.002</v>
      </c>
      <c r="F1453" s="64">
        <v>-6.9569000000000001</v>
      </c>
    </row>
    <row r="1454" spans="1:6" s="27" customFormat="1" x14ac:dyDescent="0.4">
      <c r="A1454" s="69"/>
      <c r="B1454" s="70"/>
      <c r="C1454" s="71" t="s">
        <v>698</v>
      </c>
      <c r="D1454" s="70" t="s">
        <v>14</v>
      </c>
      <c r="E1454" s="72">
        <v>0.495</v>
      </c>
      <c r="F1454" s="72">
        <v>-3.4367999999999999</v>
      </c>
    </row>
    <row r="1455" spans="1:6" s="27" customFormat="1" ht="58.15" x14ac:dyDescent="0.4">
      <c r="A1455" s="54" t="s">
        <v>380</v>
      </c>
      <c r="B1455" s="55" t="s">
        <v>701</v>
      </c>
      <c r="C1455" s="55" t="s">
        <v>702</v>
      </c>
      <c r="D1455" s="56" t="s">
        <v>703</v>
      </c>
      <c r="E1455" s="106">
        <v>6.9429999999999996</v>
      </c>
      <c r="F1455" s="107"/>
    </row>
    <row r="1456" spans="1:6" s="27" customFormat="1" x14ac:dyDescent="0.4">
      <c r="A1456" s="57"/>
      <c r="B1456" s="58"/>
      <c r="C1456" s="59" t="s">
        <v>11</v>
      </c>
      <c r="D1456" s="58" t="s">
        <v>12</v>
      </c>
      <c r="E1456" s="60">
        <v>25.41</v>
      </c>
      <c r="F1456" s="60">
        <v>176.42160000000001</v>
      </c>
    </row>
    <row r="1457" spans="1:6" s="27" customFormat="1" x14ac:dyDescent="0.4">
      <c r="A1457" s="61"/>
      <c r="B1457" s="62"/>
      <c r="C1457" s="63" t="s">
        <v>19</v>
      </c>
      <c r="D1457" s="62" t="s">
        <v>13</v>
      </c>
      <c r="E1457" s="64">
        <v>0.1</v>
      </c>
      <c r="F1457" s="64">
        <v>0.69430000000000003</v>
      </c>
    </row>
    <row r="1458" spans="1:6" s="27" customFormat="1" x14ac:dyDescent="0.4">
      <c r="A1458" s="69"/>
      <c r="B1458" s="70"/>
      <c r="C1458" s="71" t="s">
        <v>704</v>
      </c>
      <c r="D1458" s="70" t="s">
        <v>14</v>
      </c>
      <c r="E1458" s="72">
        <v>6.3E-2</v>
      </c>
      <c r="F1458" s="72">
        <v>0.43740899999999999</v>
      </c>
    </row>
    <row r="1459" spans="1:6" s="27" customFormat="1" x14ac:dyDescent="0.4">
      <c r="A1459" s="76"/>
      <c r="B1459" s="77"/>
      <c r="C1459" s="78" t="s">
        <v>705</v>
      </c>
      <c r="D1459" s="77" t="s">
        <v>14</v>
      </c>
      <c r="E1459" s="79">
        <v>5.0000000000000001E-3</v>
      </c>
      <c r="F1459" s="79">
        <v>3.4715000000000003E-2</v>
      </c>
    </row>
    <row r="1460" spans="1:6" s="27" customFormat="1" x14ac:dyDescent="0.4">
      <c r="A1460" s="76"/>
      <c r="B1460" s="77"/>
      <c r="C1460" s="78" t="s">
        <v>691</v>
      </c>
      <c r="D1460" s="77" t="s">
        <v>21</v>
      </c>
      <c r="E1460" s="79">
        <v>0.84</v>
      </c>
      <c r="F1460" s="79">
        <v>5.8320999999999996</v>
      </c>
    </row>
    <row r="1461" spans="1:6" s="27" customFormat="1" x14ac:dyDescent="0.4">
      <c r="A1461" s="51"/>
      <c r="B1461" s="52"/>
      <c r="C1461" s="110" t="s">
        <v>957</v>
      </c>
      <c r="D1461" s="110"/>
      <c r="E1461" s="52"/>
      <c r="F1461" s="53"/>
    </row>
    <row r="1462" spans="1:6" s="27" customFormat="1" ht="58.15" x14ac:dyDescent="0.4">
      <c r="A1462" s="54" t="s">
        <v>381</v>
      </c>
      <c r="B1462" s="55" t="s">
        <v>693</v>
      </c>
      <c r="C1462" s="55" t="s">
        <v>694</v>
      </c>
      <c r="D1462" s="56" t="s">
        <v>664</v>
      </c>
      <c r="E1462" s="106">
        <v>25.302</v>
      </c>
      <c r="F1462" s="107"/>
    </row>
    <row r="1463" spans="1:6" s="27" customFormat="1" x14ac:dyDescent="0.4">
      <c r="A1463" s="57"/>
      <c r="B1463" s="58"/>
      <c r="C1463" s="59" t="s">
        <v>11</v>
      </c>
      <c r="D1463" s="58" t="s">
        <v>12</v>
      </c>
      <c r="E1463" s="60">
        <v>75.400000000000006</v>
      </c>
      <c r="F1463" s="60">
        <v>1907.7708</v>
      </c>
    </row>
    <row r="1464" spans="1:6" s="27" customFormat="1" x14ac:dyDescent="0.4">
      <c r="A1464" s="61"/>
      <c r="B1464" s="62"/>
      <c r="C1464" s="63" t="s">
        <v>695</v>
      </c>
      <c r="D1464" s="62" t="s">
        <v>13</v>
      </c>
      <c r="E1464" s="64">
        <v>5.45</v>
      </c>
      <c r="F1464" s="64">
        <v>137.89590000000001</v>
      </c>
    </row>
    <row r="1465" spans="1:6" s="27" customFormat="1" x14ac:dyDescent="0.4">
      <c r="A1465" s="69"/>
      <c r="B1465" s="70"/>
      <c r="C1465" s="71" t="s">
        <v>696</v>
      </c>
      <c r="D1465" s="70" t="s">
        <v>23</v>
      </c>
      <c r="E1465" s="72">
        <v>1.51</v>
      </c>
      <c r="F1465" s="72">
        <v>38.206000000000003</v>
      </c>
    </row>
    <row r="1466" spans="1:6" s="27" customFormat="1" x14ac:dyDescent="0.4">
      <c r="A1466" s="76"/>
      <c r="B1466" s="77"/>
      <c r="C1466" s="78" t="s">
        <v>666</v>
      </c>
      <c r="D1466" s="77" t="s">
        <v>14</v>
      </c>
      <c r="E1466" s="79">
        <v>6.9999999999999994E-5</v>
      </c>
      <c r="F1466" s="79">
        <v>1.771E-3</v>
      </c>
    </row>
    <row r="1467" spans="1:6" s="27" customFormat="1" x14ac:dyDescent="0.4">
      <c r="A1467" s="76"/>
      <c r="B1467" s="77"/>
      <c r="C1467" s="78" t="s">
        <v>106</v>
      </c>
      <c r="D1467" s="77" t="s">
        <v>14</v>
      </c>
      <c r="E1467" s="79">
        <v>6.0000000000000001E-3</v>
      </c>
      <c r="F1467" s="79">
        <v>0.151812</v>
      </c>
    </row>
    <row r="1468" spans="1:6" s="27" customFormat="1" x14ac:dyDescent="0.4">
      <c r="A1468" s="76"/>
      <c r="B1468" s="77"/>
      <c r="C1468" s="78" t="s">
        <v>667</v>
      </c>
      <c r="D1468" s="77" t="s">
        <v>21</v>
      </c>
      <c r="E1468" s="79">
        <v>2.77</v>
      </c>
      <c r="F1468" s="79">
        <v>70.086500000000001</v>
      </c>
    </row>
    <row r="1469" spans="1:6" s="27" customFormat="1" ht="58.15" x14ac:dyDescent="0.4">
      <c r="A1469" s="54" t="s">
        <v>382</v>
      </c>
      <c r="B1469" s="55" t="s">
        <v>966</v>
      </c>
      <c r="C1469" s="55" t="s">
        <v>697</v>
      </c>
      <c r="D1469" s="56" t="s">
        <v>664</v>
      </c>
      <c r="E1469" s="106">
        <v>25.302</v>
      </c>
      <c r="F1469" s="107"/>
    </row>
    <row r="1470" spans="1:6" s="27" customFormat="1" x14ac:dyDescent="0.4">
      <c r="A1470" s="57"/>
      <c r="B1470" s="58"/>
      <c r="C1470" s="59" t="s">
        <v>11</v>
      </c>
      <c r="D1470" s="58" t="s">
        <v>12</v>
      </c>
      <c r="E1470" s="74">
        <v>56</v>
      </c>
      <c r="F1470" s="60">
        <v>1416.912</v>
      </c>
    </row>
    <row r="1471" spans="1:6" s="27" customFormat="1" x14ac:dyDescent="0.4">
      <c r="A1471" s="61"/>
      <c r="B1471" s="62"/>
      <c r="C1471" s="63" t="s">
        <v>25</v>
      </c>
      <c r="D1471" s="62" t="s">
        <v>13</v>
      </c>
      <c r="E1471" s="64">
        <v>1.67</v>
      </c>
      <c r="F1471" s="64">
        <v>42.254300000000001</v>
      </c>
    </row>
    <row r="1472" spans="1:6" s="27" customFormat="1" x14ac:dyDescent="0.4">
      <c r="A1472" s="69"/>
      <c r="B1472" s="70"/>
      <c r="C1472" s="71" t="s">
        <v>698</v>
      </c>
      <c r="D1472" s="70" t="s">
        <v>14</v>
      </c>
      <c r="E1472" s="72">
        <v>0.82499999999999996</v>
      </c>
      <c r="F1472" s="72">
        <v>20.874199999999998</v>
      </c>
    </row>
    <row r="1473" spans="1:6" s="27" customFormat="1" x14ac:dyDescent="0.4">
      <c r="A1473" s="76"/>
      <c r="B1473" s="77"/>
      <c r="C1473" s="78" t="s">
        <v>699</v>
      </c>
      <c r="D1473" s="77" t="s">
        <v>14</v>
      </c>
      <c r="E1473" s="79">
        <v>1.7999999999999999E-2</v>
      </c>
      <c r="F1473" s="79">
        <v>0.45543600000000001</v>
      </c>
    </row>
    <row r="1474" spans="1:6" s="27" customFormat="1" ht="58.15" x14ac:dyDescent="0.4">
      <c r="A1474" s="54" t="s">
        <v>383</v>
      </c>
      <c r="B1474" s="55" t="s">
        <v>967</v>
      </c>
      <c r="C1474" s="55" t="s">
        <v>700</v>
      </c>
      <c r="D1474" s="56" t="s">
        <v>664</v>
      </c>
      <c r="E1474" s="106">
        <v>-25.302</v>
      </c>
      <c r="F1474" s="107"/>
    </row>
    <row r="1475" spans="1:6" s="27" customFormat="1" x14ac:dyDescent="0.4">
      <c r="A1475" s="57"/>
      <c r="B1475" s="58"/>
      <c r="C1475" s="59" t="s">
        <v>11</v>
      </c>
      <c r="D1475" s="58" t="s">
        <v>12</v>
      </c>
      <c r="E1475" s="74">
        <v>30</v>
      </c>
      <c r="F1475" s="60">
        <v>-759.06</v>
      </c>
    </row>
    <row r="1476" spans="1:6" s="27" customFormat="1" x14ac:dyDescent="0.4">
      <c r="A1476" s="61"/>
      <c r="B1476" s="62"/>
      <c r="C1476" s="63" t="s">
        <v>25</v>
      </c>
      <c r="D1476" s="62" t="s">
        <v>13</v>
      </c>
      <c r="E1476" s="64">
        <v>1.002</v>
      </c>
      <c r="F1476" s="64">
        <v>-25.352599999999999</v>
      </c>
    </row>
    <row r="1477" spans="1:6" s="27" customFormat="1" x14ac:dyDescent="0.4">
      <c r="A1477" s="69"/>
      <c r="B1477" s="70"/>
      <c r="C1477" s="71" t="s">
        <v>698</v>
      </c>
      <c r="D1477" s="70" t="s">
        <v>14</v>
      </c>
      <c r="E1477" s="72">
        <v>0.495</v>
      </c>
      <c r="F1477" s="72">
        <v>-12.5245</v>
      </c>
    </row>
    <row r="1478" spans="1:6" s="27" customFormat="1" ht="58.15" x14ac:dyDescent="0.4">
      <c r="A1478" s="54" t="s">
        <v>384</v>
      </c>
      <c r="B1478" s="55" t="s">
        <v>701</v>
      </c>
      <c r="C1478" s="55" t="s">
        <v>702</v>
      </c>
      <c r="D1478" s="56" t="s">
        <v>703</v>
      </c>
      <c r="E1478" s="106">
        <v>25.302</v>
      </c>
      <c r="F1478" s="107"/>
    </row>
    <row r="1479" spans="1:6" s="27" customFormat="1" x14ac:dyDescent="0.4">
      <c r="A1479" s="57"/>
      <c r="B1479" s="58"/>
      <c r="C1479" s="59" t="s">
        <v>11</v>
      </c>
      <c r="D1479" s="58" t="s">
        <v>12</v>
      </c>
      <c r="E1479" s="60">
        <v>25.41</v>
      </c>
      <c r="F1479" s="60">
        <v>642.92380000000003</v>
      </c>
    </row>
    <row r="1480" spans="1:6" s="27" customFormat="1" x14ac:dyDescent="0.4">
      <c r="A1480" s="61"/>
      <c r="B1480" s="62"/>
      <c r="C1480" s="63" t="s">
        <v>19</v>
      </c>
      <c r="D1480" s="62" t="s">
        <v>13</v>
      </c>
      <c r="E1480" s="64">
        <v>0.1</v>
      </c>
      <c r="F1480" s="64">
        <v>2.5301999999999998</v>
      </c>
    </row>
    <row r="1481" spans="1:6" s="27" customFormat="1" x14ac:dyDescent="0.4">
      <c r="A1481" s="69"/>
      <c r="B1481" s="70"/>
      <c r="C1481" s="71" t="s">
        <v>704</v>
      </c>
      <c r="D1481" s="70" t="s">
        <v>14</v>
      </c>
      <c r="E1481" s="72">
        <v>6.3E-2</v>
      </c>
      <c r="F1481" s="72">
        <v>1.5940000000000001</v>
      </c>
    </row>
    <row r="1482" spans="1:6" s="27" customFormat="1" x14ac:dyDescent="0.4">
      <c r="A1482" s="76"/>
      <c r="B1482" s="77"/>
      <c r="C1482" s="78" t="s">
        <v>705</v>
      </c>
      <c r="D1482" s="77" t="s">
        <v>14</v>
      </c>
      <c r="E1482" s="79">
        <v>5.0000000000000001E-3</v>
      </c>
      <c r="F1482" s="79">
        <v>0.12651000000000001</v>
      </c>
    </row>
    <row r="1483" spans="1:6" s="27" customFormat="1" x14ac:dyDescent="0.4">
      <c r="A1483" s="76"/>
      <c r="B1483" s="77"/>
      <c r="C1483" s="78" t="s">
        <v>691</v>
      </c>
      <c r="D1483" s="77" t="s">
        <v>21</v>
      </c>
      <c r="E1483" s="79">
        <v>0.84</v>
      </c>
      <c r="F1483" s="79">
        <v>21.253699999999998</v>
      </c>
    </row>
    <row r="1484" spans="1:6" s="27" customFormat="1" x14ac:dyDescent="0.4">
      <c r="A1484" s="51"/>
      <c r="B1484" s="52"/>
      <c r="C1484" s="110" t="s">
        <v>958</v>
      </c>
      <c r="D1484" s="110"/>
      <c r="E1484" s="52"/>
      <c r="F1484" s="53"/>
    </row>
    <row r="1485" spans="1:6" s="27" customFormat="1" ht="58.15" x14ac:dyDescent="0.4">
      <c r="A1485" s="54" t="s">
        <v>385</v>
      </c>
      <c r="B1485" s="55" t="s">
        <v>693</v>
      </c>
      <c r="C1485" s="55" t="s">
        <v>694</v>
      </c>
      <c r="D1485" s="56" t="s">
        <v>664</v>
      </c>
      <c r="E1485" s="106">
        <v>1.052</v>
      </c>
      <c r="F1485" s="107"/>
    </row>
    <row r="1486" spans="1:6" s="27" customFormat="1" x14ac:dyDescent="0.4">
      <c r="A1486" s="57"/>
      <c r="B1486" s="58"/>
      <c r="C1486" s="59" t="s">
        <v>11</v>
      </c>
      <c r="D1486" s="58" t="s">
        <v>12</v>
      </c>
      <c r="E1486" s="60">
        <v>75.400000000000006</v>
      </c>
      <c r="F1486" s="60">
        <v>79.320800000000006</v>
      </c>
    </row>
    <row r="1487" spans="1:6" s="27" customFormat="1" x14ac:dyDescent="0.4">
      <c r="A1487" s="61"/>
      <c r="B1487" s="62"/>
      <c r="C1487" s="63" t="s">
        <v>695</v>
      </c>
      <c r="D1487" s="62" t="s">
        <v>13</v>
      </c>
      <c r="E1487" s="64">
        <v>5.45</v>
      </c>
      <c r="F1487" s="64">
        <v>5.7333999999999996</v>
      </c>
    </row>
    <row r="1488" spans="1:6" s="27" customFormat="1" x14ac:dyDescent="0.4">
      <c r="A1488" s="69"/>
      <c r="B1488" s="70"/>
      <c r="C1488" s="71" t="s">
        <v>696</v>
      </c>
      <c r="D1488" s="70" t="s">
        <v>23</v>
      </c>
      <c r="E1488" s="72">
        <v>1.51</v>
      </c>
      <c r="F1488" s="72">
        <v>1.5885</v>
      </c>
    </row>
    <row r="1489" spans="1:6" s="27" customFormat="1" x14ac:dyDescent="0.4">
      <c r="A1489" s="76"/>
      <c r="B1489" s="77"/>
      <c r="C1489" s="78" t="s">
        <v>666</v>
      </c>
      <c r="D1489" s="77" t="s">
        <v>14</v>
      </c>
      <c r="E1489" s="79">
        <v>6.9999999999999994E-5</v>
      </c>
      <c r="F1489" s="79">
        <v>7.3999999999999996E-5</v>
      </c>
    </row>
    <row r="1490" spans="1:6" s="27" customFormat="1" x14ac:dyDescent="0.4">
      <c r="A1490" s="76"/>
      <c r="B1490" s="77"/>
      <c r="C1490" s="78" t="s">
        <v>106</v>
      </c>
      <c r="D1490" s="77" t="s">
        <v>14</v>
      </c>
      <c r="E1490" s="79">
        <v>6.0000000000000001E-3</v>
      </c>
      <c r="F1490" s="79">
        <v>6.3119999999999999E-3</v>
      </c>
    </row>
    <row r="1491" spans="1:6" s="27" customFormat="1" x14ac:dyDescent="0.4">
      <c r="A1491" s="76"/>
      <c r="B1491" s="77"/>
      <c r="C1491" s="78" t="s">
        <v>667</v>
      </c>
      <c r="D1491" s="77" t="s">
        <v>21</v>
      </c>
      <c r="E1491" s="79">
        <v>2.77</v>
      </c>
      <c r="F1491" s="79">
        <v>2.9140000000000001</v>
      </c>
    </row>
    <row r="1492" spans="1:6" s="27" customFormat="1" ht="58.15" x14ac:dyDescent="0.4">
      <c r="A1492" s="54" t="s">
        <v>386</v>
      </c>
      <c r="B1492" s="55" t="s">
        <v>966</v>
      </c>
      <c r="C1492" s="55" t="s">
        <v>697</v>
      </c>
      <c r="D1492" s="56" t="s">
        <v>664</v>
      </c>
      <c r="E1492" s="106">
        <v>1.052</v>
      </c>
      <c r="F1492" s="107"/>
    </row>
    <row r="1493" spans="1:6" s="27" customFormat="1" x14ac:dyDescent="0.4">
      <c r="A1493" s="57"/>
      <c r="B1493" s="58"/>
      <c r="C1493" s="59" t="s">
        <v>11</v>
      </c>
      <c r="D1493" s="58" t="s">
        <v>12</v>
      </c>
      <c r="E1493" s="74">
        <v>56</v>
      </c>
      <c r="F1493" s="60">
        <v>58.911999999999999</v>
      </c>
    </row>
    <row r="1494" spans="1:6" s="27" customFormat="1" x14ac:dyDescent="0.4">
      <c r="A1494" s="61"/>
      <c r="B1494" s="62"/>
      <c r="C1494" s="63" t="s">
        <v>25</v>
      </c>
      <c r="D1494" s="62" t="s">
        <v>13</v>
      </c>
      <c r="E1494" s="64">
        <v>1.67</v>
      </c>
      <c r="F1494" s="64">
        <v>1.7567999999999999</v>
      </c>
    </row>
    <row r="1495" spans="1:6" s="27" customFormat="1" x14ac:dyDescent="0.4">
      <c r="A1495" s="69"/>
      <c r="B1495" s="70"/>
      <c r="C1495" s="71" t="s">
        <v>698</v>
      </c>
      <c r="D1495" s="70" t="s">
        <v>14</v>
      </c>
      <c r="E1495" s="72">
        <v>0.82499999999999996</v>
      </c>
      <c r="F1495" s="72">
        <v>0.8679</v>
      </c>
    </row>
    <row r="1496" spans="1:6" s="27" customFormat="1" x14ac:dyDescent="0.4">
      <c r="A1496" s="76"/>
      <c r="B1496" s="77"/>
      <c r="C1496" s="78" t="s">
        <v>699</v>
      </c>
      <c r="D1496" s="77" t="s">
        <v>14</v>
      </c>
      <c r="E1496" s="79">
        <v>1.7999999999999999E-2</v>
      </c>
      <c r="F1496" s="79">
        <v>1.8936000000000001E-2</v>
      </c>
    </row>
    <row r="1497" spans="1:6" s="27" customFormat="1" ht="58.15" x14ac:dyDescent="0.4">
      <c r="A1497" s="54" t="s">
        <v>387</v>
      </c>
      <c r="B1497" s="55" t="s">
        <v>967</v>
      </c>
      <c r="C1497" s="55" t="s">
        <v>700</v>
      </c>
      <c r="D1497" s="56" t="s">
        <v>664</v>
      </c>
      <c r="E1497" s="106">
        <v>-1.052</v>
      </c>
      <c r="F1497" s="107"/>
    </row>
    <row r="1498" spans="1:6" s="27" customFormat="1" x14ac:dyDescent="0.4">
      <c r="A1498" s="57"/>
      <c r="B1498" s="58"/>
      <c r="C1498" s="59" t="s">
        <v>11</v>
      </c>
      <c r="D1498" s="58" t="s">
        <v>12</v>
      </c>
      <c r="E1498" s="74">
        <v>30</v>
      </c>
      <c r="F1498" s="60">
        <v>-31.56</v>
      </c>
    </row>
    <row r="1499" spans="1:6" s="27" customFormat="1" x14ac:dyDescent="0.4">
      <c r="A1499" s="61"/>
      <c r="B1499" s="62"/>
      <c r="C1499" s="63" t="s">
        <v>25</v>
      </c>
      <c r="D1499" s="62" t="s">
        <v>13</v>
      </c>
      <c r="E1499" s="64">
        <v>1.002</v>
      </c>
      <c r="F1499" s="64">
        <v>-1.0541</v>
      </c>
    </row>
    <row r="1500" spans="1:6" s="27" customFormat="1" x14ac:dyDescent="0.4">
      <c r="A1500" s="69"/>
      <c r="B1500" s="70"/>
      <c r="C1500" s="71" t="s">
        <v>698</v>
      </c>
      <c r="D1500" s="70" t="s">
        <v>14</v>
      </c>
      <c r="E1500" s="72">
        <v>0.495</v>
      </c>
      <c r="F1500" s="72">
        <v>-0.52073999999999998</v>
      </c>
    </row>
    <row r="1501" spans="1:6" s="27" customFormat="1" ht="58.15" x14ac:dyDescent="0.4">
      <c r="A1501" s="54" t="s">
        <v>388</v>
      </c>
      <c r="B1501" s="55" t="s">
        <v>701</v>
      </c>
      <c r="C1501" s="55" t="s">
        <v>702</v>
      </c>
      <c r="D1501" s="56" t="s">
        <v>703</v>
      </c>
      <c r="E1501" s="106">
        <v>1.052</v>
      </c>
      <c r="F1501" s="107"/>
    </row>
    <row r="1502" spans="1:6" s="27" customFormat="1" x14ac:dyDescent="0.4">
      <c r="A1502" s="57"/>
      <c r="B1502" s="58"/>
      <c r="C1502" s="59" t="s">
        <v>11</v>
      </c>
      <c r="D1502" s="58" t="s">
        <v>12</v>
      </c>
      <c r="E1502" s="60">
        <v>25.41</v>
      </c>
      <c r="F1502" s="60">
        <v>26.731300000000001</v>
      </c>
    </row>
    <row r="1503" spans="1:6" s="27" customFormat="1" x14ac:dyDescent="0.4">
      <c r="A1503" s="61"/>
      <c r="B1503" s="62"/>
      <c r="C1503" s="63" t="s">
        <v>19</v>
      </c>
      <c r="D1503" s="62" t="s">
        <v>13</v>
      </c>
      <c r="E1503" s="64">
        <v>0.1</v>
      </c>
      <c r="F1503" s="64">
        <v>0.1052</v>
      </c>
    </row>
    <row r="1504" spans="1:6" s="27" customFormat="1" x14ac:dyDescent="0.4">
      <c r="A1504" s="69"/>
      <c r="B1504" s="70"/>
      <c r="C1504" s="71" t="s">
        <v>704</v>
      </c>
      <c r="D1504" s="70" t="s">
        <v>14</v>
      </c>
      <c r="E1504" s="72">
        <v>6.3E-2</v>
      </c>
      <c r="F1504" s="72">
        <v>6.6276000000000002E-2</v>
      </c>
    </row>
    <row r="1505" spans="1:6" s="27" customFormat="1" x14ac:dyDescent="0.4">
      <c r="A1505" s="76"/>
      <c r="B1505" s="77"/>
      <c r="C1505" s="78" t="s">
        <v>705</v>
      </c>
      <c r="D1505" s="77" t="s">
        <v>14</v>
      </c>
      <c r="E1505" s="79">
        <v>5.0000000000000001E-3</v>
      </c>
      <c r="F1505" s="79">
        <v>5.2599999999999999E-3</v>
      </c>
    </row>
    <row r="1506" spans="1:6" s="27" customFormat="1" x14ac:dyDescent="0.4">
      <c r="A1506" s="76"/>
      <c r="B1506" s="77"/>
      <c r="C1506" s="78" t="s">
        <v>691</v>
      </c>
      <c r="D1506" s="77" t="s">
        <v>21</v>
      </c>
      <c r="E1506" s="79">
        <v>0.84</v>
      </c>
      <c r="F1506" s="79">
        <v>0.88368000000000002</v>
      </c>
    </row>
    <row r="1507" spans="1:6" s="27" customFormat="1" x14ac:dyDescent="0.4">
      <c r="A1507" s="51"/>
      <c r="B1507" s="52"/>
      <c r="C1507" s="110" t="s">
        <v>961</v>
      </c>
      <c r="D1507" s="110"/>
      <c r="E1507" s="52"/>
      <c r="F1507" s="53"/>
    </row>
    <row r="1508" spans="1:6" s="27" customFormat="1" ht="58.15" x14ac:dyDescent="0.4">
      <c r="A1508" s="54" t="s">
        <v>389</v>
      </c>
      <c r="B1508" s="55" t="s">
        <v>693</v>
      </c>
      <c r="C1508" s="55" t="s">
        <v>694</v>
      </c>
      <c r="D1508" s="56" t="s">
        <v>664</v>
      </c>
      <c r="E1508" s="106">
        <v>71.92</v>
      </c>
      <c r="F1508" s="107"/>
    </row>
    <row r="1509" spans="1:6" s="27" customFormat="1" x14ac:dyDescent="0.4">
      <c r="A1509" s="57"/>
      <c r="B1509" s="58"/>
      <c r="C1509" s="59" t="s">
        <v>11</v>
      </c>
      <c r="D1509" s="58" t="s">
        <v>12</v>
      </c>
      <c r="E1509" s="60">
        <v>75.400000000000006</v>
      </c>
      <c r="F1509" s="60">
        <v>5422.768</v>
      </c>
    </row>
    <row r="1510" spans="1:6" s="27" customFormat="1" x14ac:dyDescent="0.4">
      <c r="A1510" s="61"/>
      <c r="B1510" s="62"/>
      <c r="C1510" s="63" t="s">
        <v>695</v>
      </c>
      <c r="D1510" s="62" t="s">
        <v>13</v>
      </c>
      <c r="E1510" s="64">
        <v>5.45</v>
      </c>
      <c r="F1510" s="64">
        <v>391.964</v>
      </c>
    </row>
    <row r="1511" spans="1:6" s="27" customFormat="1" x14ac:dyDescent="0.4">
      <c r="A1511" s="69"/>
      <c r="B1511" s="70"/>
      <c r="C1511" s="71" t="s">
        <v>696</v>
      </c>
      <c r="D1511" s="70" t="s">
        <v>23</v>
      </c>
      <c r="E1511" s="72">
        <v>1.51</v>
      </c>
      <c r="F1511" s="72">
        <v>108.5992</v>
      </c>
    </row>
    <row r="1512" spans="1:6" s="27" customFormat="1" x14ac:dyDescent="0.4">
      <c r="A1512" s="76"/>
      <c r="B1512" s="77"/>
      <c r="C1512" s="78" t="s">
        <v>666</v>
      </c>
      <c r="D1512" s="77" t="s">
        <v>14</v>
      </c>
      <c r="E1512" s="79">
        <v>6.9999999999999994E-5</v>
      </c>
      <c r="F1512" s="79">
        <v>5.0340000000000003E-3</v>
      </c>
    </row>
    <row r="1513" spans="1:6" s="27" customFormat="1" x14ac:dyDescent="0.4">
      <c r="A1513" s="76"/>
      <c r="B1513" s="77"/>
      <c r="C1513" s="78" t="s">
        <v>106</v>
      </c>
      <c r="D1513" s="77" t="s">
        <v>14</v>
      </c>
      <c r="E1513" s="79">
        <v>6.0000000000000001E-3</v>
      </c>
      <c r="F1513" s="79">
        <v>0.43152000000000001</v>
      </c>
    </row>
    <row r="1514" spans="1:6" s="27" customFormat="1" x14ac:dyDescent="0.4">
      <c r="A1514" s="76"/>
      <c r="B1514" s="77"/>
      <c r="C1514" s="78" t="s">
        <v>667</v>
      </c>
      <c r="D1514" s="77" t="s">
        <v>21</v>
      </c>
      <c r="E1514" s="79">
        <v>2.77</v>
      </c>
      <c r="F1514" s="79">
        <v>199.2184</v>
      </c>
    </row>
    <row r="1515" spans="1:6" s="27" customFormat="1" ht="58.15" x14ac:dyDescent="0.4">
      <c r="A1515" s="54" t="s">
        <v>390</v>
      </c>
      <c r="B1515" s="55" t="s">
        <v>966</v>
      </c>
      <c r="C1515" s="55" t="s">
        <v>697</v>
      </c>
      <c r="D1515" s="56" t="s">
        <v>664</v>
      </c>
      <c r="E1515" s="106">
        <v>71.92</v>
      </c>
      <c r="F1515" s="107"/>
    </row>
    <row r="1516" spans="1:6" s="27" customFormat="1" x14ac:dyDescent="0.4">
      <c r="A1516" s="57"/>
      <c r="B1516" s="58"/>
      <c r="C1516" s="59" t="s">
        <v>11</v>
      </c>
      <c r="D1516" s="58" t="s">
        <v>12</v>
      </c>
      <c r="E1516" s="74">
        <v>56</v>
      </c>
      <c r="F1516" s="60">
        <v>4027.52</v>
      </c>
    </row>
    <row r="1517" spans="1:6" s="27" customFormat="1" x14ac:dyDescent="0.4">
      <c r="A1517" s="61"/>
      <c r="B1517" s="62"/>
      <c r="C1517" s="63" t="s">
        <v>25</v>
      </c>
      <c r="D1517" s="62" t="s">
        <v>13</v>
      </c>
      <c r="E1517" s="64">
        <v>1.67</v>
      </c>
      <c r="F1517" s="64">
        <v>120.10639999999999</v>
      </c>
    </row>
    <row r="1518" spans="1:6" s="27" customFormat="1" x14ac:dyDescent="0.4">
      <c r="A1518" s="69"/>
      <c r="B1518" s="70"/>
      <c r="C1518" s="71" t="s">
        <v>698</v>
      </c>
      <c r="D1518" s="70" t="s">
        <v>14</v>
      </c>
      <c r="E1518" s="72">
        <v>0.82499999999999996</v>
      </c>
      <c r="F1518" s="72">
        <v>59.334000000000003</v>
      </c>
    </row>
    <row r="1519" spans="1:6" s="27" customFormat="1" x14ac:dyDescent="0.4">
      <c r="A1519" s="76"/>
      <c r="B1519" s="77"/>
      <c r="C1519" s="78" t="s">
        <v>699</v>
      </c>
      <c r="D1519" s="77" t="s">
        <v>14</v>
      </c>
      <c r="E1519" s="79">
        <v>1.7999999999999999E-2</v>
      </c>
      <c r="F1519" s="79">
        <v>1.2946</v>
      </c>
    </row>
    <row r="1520" spans="1:6" s="27" customFormat="1" ht="58.15" x14ac:dyDescent="0.4">
      <c r="A1520" s="54" t="s">
        <v>391</v>
      </c>
      <c r="B1520" s="55" t="s">
        <v>967</v>
      </c>
      <c r="C1520" s="55" t="s">
        <v>700</v>
      </c>
      <c r="D1520" s="56" t="s">
        <v>664</v>
      </c>
      <c r="E1520" s="106">
        <v>-71.92</v>
      </c>
      <c r="F1520" s="107"/>
    </row>
    <row r="1521" spans="1:6" s="27" customFormat="1" x14ac:dyDescent="0.4">
      <c r="A1521" s="57"/>
      <c r="B1521" s="58"/>
      <c r="C1521" s="59" t="s">
        <v>11</v>
      </c>
      <c r="D1521" s="58" t="s">
        <v>12</v>
      </c>
      <c r="E1521" s="74">
        <v>30</v>
      </c>
      <c r="F1521" s="60">
        <v>-2157.6</v>
      </c>
    </row>
    <row r="1522" spans="1:6" s="27" customFormat="1" x14ac:dyDescent="0.4">
      <c r="A1522" s="61"/>
      <c r="B1522" s="62"/>
      <c r="C1522" s="63" t="s">
        <v>25</v>
      </c>
      <c r="D1522" s="62" t="s">
        <v>13</v>
      </c>
      <c r="E1522" s="64">
        <v>1.002</v>
      </c>
      <c r="F1522" s="64">
        <v>-72.063800000000001</v>
      </c>
    </row>
    <row r="1523" spans="1:6" s="27" customFormat="1" x14ac:dyDescent="0.4">
      <c r="A1523" s="69"/>
      <c r="B1523" s="70"/>
      <c r="C1523" s="71" t="s">
        <v>698</v>
      </c>
      <c r="D1523" s="70" t="s">
        <v>14</v>
      </c>
      <c r="E1523" s="72">
        <v>0.495</v>
      </c>
      <c r="F1523" s="72">
        <v>-35.6004</v>
      </c>
    </row>
    <row r="1524" spans="1:6" s="27" customFormat="1" ht="58.15" x14ac:dyDescent="0.4">
      <c r="A1524" s="54" t="s">
        <v>392</v>
      </c>
      <c r="B1524" s="55" t="s">
        <v>701</v>
      </c>
      <c r="C1524" s="55" t="s">
        <v>702</v>
      </c>
      <c r="D1524" s="56" t="s">
        <v>703</v>
      </c>
      <c r="E1524" s="106">
        <v>71.92</v>
      </c>
      <c r="F1524" s="107"/>
    </row>
    <row r="1525" spans="1:6" s="27" customFormat="1" x14ac:dyDescent="0.4">
      <c r="A1525" s="57"/>
      <c r="B1525" s="58"/>
      <c r="C1525" s="59" t="s">
        <v>11</v>
      </c>
      <c r="D1525" s="58" t="s">
        <v>12</v>
      </c>
      <c r="E1525" s="60">
        <v>25.41</v>
      </c>
      <c r="F1525" s="60">
        <v>1827.4872</v>
      </c>
    </row>
    <row r="1526" spans="1:6" s="27" customFormat="1" x14ac:dyDescent="0.4">
      <c r="A1526" s="61"/>
      <c r="B1526" s="62"/>
      <c r="C1526" s="63" t="s">
        <v>19</v>
      </c>
      <c r="D1526" s="62" t="s">
        <v>13</v>
      </c>
      <c r="E1526" s="64">
        <v>0.1</v>
      </c>
      <c r="F1526" s="64">
        <v>7.1920000000000002</v>
      </c>
    </row>
    <row r="1527" spans="1:6" s="27" customFormat="1" x14ac:dyDescent="0.4">
      <c r="A1527" s="69"/>
      <c r="B1527" s="70"/>
      <c r="C1527" s="71" t="s">
        <v>704</v>
      </c>
      <c r="D1527" s="70" t="s">
        <v>14</v>
      </c>
      <c r="E1527" s="72">
        <v>6.3E-2</v>
      </c>
      <c r="F1527" s="72">
        <v>4.5309999999999997</v>
      </c>
    </row>
    <row r="1528" spans="1:6" s="27" customFormat="1" x14ac:dyDescent="0.4">
      <c r="A1528" s="76"/>
      <c r="B1528" s="77"/>
      <c r="C1528" s="78" t="s">
        <v>705</v>
      </c>
      <c r="D1528" s="77" t="s">
        <v>14</v>
      </c>
      <c r="E1528" s="79">
        <v>5.0000000000000001E-3</v>
      </c>
      <c r="F1528" s="79">
        <v>0.35959999999999998</v>
      </c>
    </row>
    <row r="1529" spans="1:6" s="27" customFormat="1" x14ac:dyDescent="0.4">
      <c r="A1529" s="76"/>
      <c r="B1529" s="77"/>
      <c r="C1529" s="78" t="s">
        <v>691</v>
      </c>
      <c r="D1529" s="77" t="s">
        <v>21</v>
      </c>
      <c r="E1529" s="79">
        <v>0.84</v>
      </c>
      <c r="F1529" s="79">
        <v>60.412799999999997</v>
      </c>
    </row>
    <row r="1530" spans="1:6" s="27" customFormat="1" x14ac:dyDescent="0.4">
      <c r="A1530" s="51"/>
      <c r="B1530" s="52"/>
      <c r="C1530" s="110" t="s">
        <v>962</v>
      </c>
      <c r="D1530" s="110"/>
      <c r="E1530" s="52"/>
      <c r="F1530" s="53"/>
    </row>
    <row r="1531" spans="1:6" s="27" customFormat="1" ht="58.15" x14ac:dyDescent="0.4">
      <c r="A1531" s="54" t="s">
        <v>393</v>
      </c>
      <c r="B1531" s="55" t="s">
        <v>693</v>
      </c>
      <c r="C1531" s="55" t="s">
        <v>694</v>
      </c>
      <c r="D1531" s="56" t="s">
        <v>664</v>
      </c>
      <c r="E1531" s="106">
        <v>13.076000000000001</v>
      </c>
      <c r="F1531" s="107"/>
    </row>
    <row r="1532" spans="1:6" s="27" customFormat="1" x14ac:dyDescent="0.4">
      <c r="A1532" s="57"/>
      <c r="B1532" s="58"/>
      <c r="C1532" s="59" t="s">
        <v>11</v>
      </c>
      <c r="D1532" s="58" t="s">
        <v>12</v>
      </c>
      <c r="E1532" s="60">
        <v>75.400000000000006</v>
      </c>
      <c r="F1532" s="60">
        <v>985.93039999999996</v>
      </c>
    </row>
    <row r="1533" spans="1:6" s="27" customFormat="1" x14ac:dyDescent="0.4">
      <c r="A1533" s="61"/>
      <c r="B1533" s="62"/>
      <c r="C1533" s="63" t="s">
        <v>695</v>
      </c>
      <c r="D1533" s="62" t="s">
        <v>13</v>
      </c>
      <c r="E1533" s="64">
        <v>5.45</v>
      </c>
      <c r="F1533" s="64">
        <v>71.264200000000002</v>
      </c>
    </row>
    <row r="1534" spans="1:6" s="27" customFormat="1" x14ac:dyDescent="0.4">
      <c r="A1534" s="69"/>
      <c r="B1534" s="70"/>
      <c r="C1534" s="71" t="s">
        <v>696</v>
      </c>
      <c r="D1534" s="70" t="s">
        <v>23</v>
      </c>
      <c r="E1534" s="72">
        <v>1.51</v>
      </c>
      <c r="F1534" s="72">
        <v>19.744800000000001</v>
      </c>
    </row>
    <row r="1535" spans="1:6" s="27" customFormat="1" x14ac:dyDescent="0.4">
      <c r="A1535" s="76"/>
      <c r="B1535" s="77"/>
      <c r="C1535" s="78" t="s">
        <v>666</v>
      </c>
      <c r="D1535" s="77" t="s">
        <v>14</v>
      </c>
      <c r="E1535" s="79">
        <v>6.9999999999999994E-5</v>
      </c>
      <c r="F1535" s="79">
        <v>9.1500000000000001E-4</v>
      </c>
    </row>
    <row r="1536" spans="1:6" s="27" customFormat="1" x14ac:dyDescent="0.4">
      <c r="A1536" s="76"/>
      <c r="B1536" s="77"/>
      <c r="C1536" s="78" t="s">
        <v>106</v>
      </c>
      <c r="D1536" s="77" t="s">
        <v>14</v>
      </c>
      <c r="E1536" s="79">
        <v>6.0000000000000001E-3</v>
      </c>
      <c r="F1536" s="79">
        <v>7.8455999999999998E-2</v>
      </c>
    </row>
    <row r="1537" spans="1:6" s="27" customFormat="1" x14ac:dyDescent="0.4">
      <c r="A1537" s="76"/>
      <c r="B1537" s="77"/>
      <c r="C1537" s="78" t="s">
        <v>667</v>
      </c>
      <c r="D1537" s="77" t="s">
        <v>21</v>
      </c>
      <c r="E1537" s="79">
        <v>2.77</v>
      </c>
      <c r="F1537" s="79">
        <v>36.220500000000001</v>
      </c>
    </row>
    <row r="1538" spans="1:6" s="27" customFormat="1" ht="58.15" x14ac:dyDescent="0.4">
      <c r="A1538" s="54" t="s">
        <v>394</v>
      </c>
      <c r="B1538" s="55" t="s">
        <v>968</v>
      </c>
      <c r="C1538" s="55" t="s">
        <v>711</v>
      </c>
      <c r="D1538" s="56" t="s">
        <v>669</v>
      </c>
      <c r="E1538" s="106">
        <v>13.076000000000001</v>
      </c>
      <c r="F1538" s="107"/>
    </row>
    <row r="1539" spans="1:6" s="27" customFormat="1" x14ac:dyDescent="0.4">
      <c r="A1539" s="57"/>
      <c r="B1539" s="58"/>
      <c r="C1539" s="59" t="s">
        <v>11</v>
      </c>
      <c r="D1539" s="58" t="s">
        <v>12</v>
      </c>
      <c r="E1539" s="60">
        <v>159.66999999999999</v>
      </c>
      <c r="F1539" s="60">
        <v>2087.8449000000001</v>
      </c>
    </row>
    <row r="1540" spans="1:6" s="27" customFormat="1" x14ac:dyDescent="0.4">
      <c r="A1540" s="61"/>
      <c r="B1540" s="62"/>
      <c r="C1540" s="63" t="s">
        <v>712</v>
      </c>
      <c r="D1540" s="62" t="s">
        <v>13</v>
      </c>
      <c r="E1540" s="64">
        <v>1.3</v>
      </c>
      <c r="F1540" s="64">
        <v>16.998799999999999</v>
      </c>
    </row>
    <row r="1541" spans="1:6" s="27" customFormat="1" x14ac:dyDescent="0.4">
      <c r="A1541" s="69"/>
      <c r="B1541" s="70"/>
      <c r="C1541" s="71" t="s">
        <v>713</v>
      </c>
      <c r="D1541" s="70" t="s">
        <v>14</v>
      </c>
      <c r="E1541" s="72">
        <v>0.375</v>
      </c>
      <c r="F1541" s="72">
        <v>4.9035000000000002</v>
      </c>
    </row>
    <row r="1542" spans="1:6" s="27" customFormat="1" x14ac:dyDescent="0.4">
      <c r="A1542" s="76"/>
      <c r="B1542" s="77"/>
      <c r="C1542" s="78" t="s">
        <v>714</v>
      </c>
      <c r="D1542" s="77" t="s">
        <v>21</v>
      </c>
      <c r="E1542" s="80">
        <v>100</v>
      </c>
      <c r="F1542" s="79">
        <v>1307.5999999999999</v>
      </c>
    </row>
    <row r="1543" spans="1:6" s="27" customFormat="1" x14ac:dyDescent="0.4">
      <c r="A1543" s="76"/>
      <c r="B1543" s="77"/>
      <c r="C1543" s="78" t="s">
        <v>715</v>
      </c>
      <c r="D1543" s="77" t="s">
        <v>14</v>
      </c>
      <c r="E1543" s="79">
        <v>0.05</v>
      </c>
      <c r="F1543" s="79">
        <v>0.65380000000000005</v>
      </c>
    </row>
    <row r="1544" spans="1:6" s="27" customFormat="1" x14ac:dyDescent="0.4">
      <c r="A1544" s="51"/>
      <c r="B1544" s="52"/>
      <c r="C1544" s="110" t="s">
        <v>964</v>
      </c>
      <c r="D1544" s="110"/>
      <c r="E1544" s="52"/>
      <c r="F1544" s="53"/>
    </row>
    <row r="1545" spans="1:6" s="27" customFormat="1" ht="58.15" x14ac:dyDescent="0.4">
      <c r="A1545" s="54" t="s">
        <v>395</v>
      </c>
      <c r="B1545" s="55" t="s">
        <v>693</v>
      </c>
      <c r="C1545" s="55" t="s">
        <v>694</v>
      </c>
      <c r="D1545" s="56" t="s">
        <v>664</v>
      </c>
      <c r="E1545" s="106">
        <v>9.4719999999999995</v>
      </c>
      <c r="F1545" s="107"/>
    </row>
    <row r="1546" spans="1:6" s="27" customFormat="1" x14ac:dyDescent="0.4">
      <c r="A1546" s="57"/>
      <c r="B1546" s="58"/>
      <c r="C1546" s="59" t="s">
        <v>11</v>
      </c>
      <c r="D1546" s="58" t="s">
        <v>12</v>
      </c>
      <c r="E1546" s="60">
        <v>75.400000000000006</v>
      </c>
      <c r="F1546" s="60">
        <v>714.18880000000001</v>
      </c>
    </row>
    <row r="1547" spans="1:6" s="27" customFormat="1" x14ac:dyDescent="0.4">
      <c r="A1547" s="61"/>
      <c r="B1547" s="62"/>
      <c r="C1547" s="63" t="s">
        <v>695</v>
      </c>
      <c r="D1547" s="62" t="s">
        <v>13</v>
      </c>
      <c r="E1547" s="64">
        <v>5.45</v>
      </c>
      <c r="F1547" s="64">
        <v>51.622399999999999</v>
      </c>
    </row>
    <row r="1548" spans="1:6" s="27" customFormat="1" x14ac:dyDescent="0.4">
      <c r="A1548" s="69"/>
      <c r="B1548" s="70"/>
      <c r="C1548" s="71" t="s">
        <v>696</v>
      </c>
      <c r="D1548" s="70" t="s">
        <v>23</v>
      </c>
      <c r="E1548" s="72">
        <v>1.51</v>
      </c>
      <c r="F1548" s="72">
        <v>14.3027</v>
      </c>
    </row>
    <row r="1549" spans="1:6" s="27" customFormat="1" x14ac:dyDescent="0.4">
      <c r="A1549" s="76"/>
      <c r="B1549" s="77"/>
      <c r="C1549" s="78" t="s">
        <v>666</v>
      </c>
      <c r="D1549" s="77" t="s">
        <v>14</v>
      </c>
      <c r="E1549" s="79">
        <v>6.9999999999999994E-5</v>
      </c>
      <c r="F1549" s="79">
        <v>6.6299999999999996E-4</v>
      </c>
    </row>
    <row r="1550" spans="1:6" s="27" customFormat="1" x14ac:dyDescent="0.4">
      <c r="A1550" s="76"/>
      <c r="B1550" s="77"/>
      <c r="C1550" s="78" t="s">
        <v>106</v>
      </c>
      <c r="D1550" s="77" t="s">
        <v>14</v>
      </c>
      <c r="E1550" s="79">
        <v>6.0000000000000001E-3</v>
      </c>
      <c r="F1550" s="79">
        <v>5.6832000000000001E-2</v>
      </c>
    </row>
    <row r="1551" spans="1:6" s="27" customFormat="1" x14ac:dyDescent="0.4">
      <c r="A1551" s="76"/>
      <c r="B1551" s="77"/>
      <c r="C1551" s="78" t="s">
        <v>667</v>
      </c>
      <c r="D1551" s="77" t="s">
        <v>21</v>
      </c>
      <c r="E1551" s="79">
        <v>2.77</v>
      </c>
      <c r="F1551" s="79">
        <v>26.237400000000001</v>
      </c>
    </row>
    <row r="1552" spans="1:6" s="27" customFormat="1" ht="58.15" x14ac:dyDescent="0.4">
      <c r="A1552" s="54" t="s">
        <v>396</v>
      </c>
      <c r="B1552" s="55" t="s">
        <v>966</v>
      </c>
      <c r="C1552" s="55" t="s">
        <v>697</v>
      </c>
      <c r="D1552" s="56" t="s">
        <v>664</v>
      </c>
      <c r="E1552" s="106">
        <v>9.4719999999999995</v>
      </c>
      <c r="F1552" s="107"/>
    </row>
    <row r="1553" spans="1:6" s="27" customFormat="1" x14ac:dyDescent="0.4">
      <c r="A1553" s="57"/>
      <c r="B1553" s="58"/>
      <c r="C1553" s="59" t="s">
        <v>11</v>
      </c>
      <c r="D1553" s="58" t="s">
        <v>12</v>
      </c>
      <c r="E1553" s="74">
        <v>56</v>
      </c>
      <c r="F1553" s="60">
        <v>530.43200000000002</v>
      </c>
    </row>
    <row r="1554" spans="1:6" s="27" customFormat="1" x14ac:dyDescent="0.4">
      <c r="A1554" s="61"/>
      <c r="B1554" s="62"/>
      <c r="C1554" s="63" t="s">
        <v>25</v>
      </c>
      <c r="D1554" s="62" t="s">
        <v>13</v>
      </c>
      <c r="E1554" s="64">
        <v>1.67</v>
      </c>
      <c r="F1554" s="64">
        <v>15.818199999999999</v>
      </c>
    </row>
    <row r="1555" spans="1:6" s="27" customFormat="1" x14ac:dyDescent="0.4">
      <c r="A1555" s="69"/>
      <c r="B1555" s="70"/>
      <c r="C1555" s="71" t="s">
        <v>698</v>
      </c>
      <c r="D1555" s="70" t="s">
        <v>14</v>
      </c>
      <c r="E1555" s="72">
        <v>0.82499999999999996</v>
      </c>
      <c r="F1555" s="72">
        <v>7.8144</v>
      </c>
    </row>
    <row r="1556" spans="1:6" s="27" customFormat="1" x14ac:dyDescent="0.4">
      <c r="A1556" s="76"/>
      <c r="B1556" s="77"/>
      <c r="C1556" s="78" t="s">
        <v>699</v>
      </c>
      <c r="D1556" s="77" t="s">
        <v>14</v>
      </c>
      <c r="E1556" s="79">
        <v>1.7999999999999999E-2</v>
      </c>
      <c r="F1556" s="79">
        <v>0.17049600000000001</v>
      </c>
    </row>
    <row r="1557" spans="1:6" s="27" customFormat="1" ht="58.15" x14ac:dyDescent="0.4">
      <c r="A1557" s="54" t="s">
        <v>397</v>
      </c>
      <c r="B1557" s="55" t="s">
        <v>967</v>
      </c>
      <c r="C1557" s="55" t="s">
        <v>700</v>
      </c>
      <c r="D1557" s="56" t="s">
        <v>664</v>
      </c>
      <c r="E1557" s="106">
        <v>-9.4719999999999995</v>
      </c>
      <c r="F1557" s="107"/>
    </row>
    <row r="1558" spans="1:6" s="27" customFormat="1" x14ac:dyDescent="0.4">
      <c r="A1558" s="57"/>
      <c r="B1558" s="58"/>
      <c r="C1558" s="59" t="s">
        <v>11</v>
      </c>
      <c r="D1558" s="58" t="s">
        <v>12</v>
      </c>
      <c r="E1558" s="74">
        <v>30</v>
      </c>
      <c r="F1558" s="60">
        <v>-284.16000000000003</v>
      </c>
    </row>
    <row r="1559" spans="1:6" s="27" customFormat="1" x14ac:dyDescent="0.4">
      <c r="A1559" s="61"/>
      <c r="B1559" s="62"/>
      <c r="C1559" s="63" t="s">
        <v>25</v>
      </c>
      <c r="D1559" s="62" t="s">
        <v>13</v>
      </c>
      <c r="E1559" s="64">
        <v>1.002</v>
      </c>
      <c r="F1559" s="64">
        <v>-9.4908999999999999</v>
      </c>
    </row>
    <row r="1560" spans="1:6" s="27" customFormat="1" x14ac:dyDescent="0.4">
      <c r="A1560" s="69"/>
      <c r="B1560" s="70"/>
      <c r="C1560" s="71" t="s">
        <v>698</v>
      </c>
      <c r="D1560" s="70" t="s">
        <v>14</v>
      </c>
      <c r="E1560" s="72">
        <v>0.495</v>
      </c>
      <c r="F1560" s="72">
        <v>-4.6886000000000001</v>
      </c>
    </row>
    <row r="1561" spans="1:6" s="27" customFormat="1" ht="58.15" x14ac:dyDescent="0.4">
      <c r="A1561" s="54" t="s">
        <v>398</v>
      </c>
      <c r="B1561" s="55" t="s">
        <v>701</v>
      </c>
      <c r="C1561" s="55" t="s">
        <v>702</v>
      </c>
      <c r="D1561" s="56" t="s">
        <v>703</v>
      </c>
      <c r="E1561" s="106">
        <v>9.4719999999999995</v>
      </c>
      <c r="F1561" s="107"/>
    </row>
    <row r="1562" spans="1:6" s="27" customFormat="1" x14ac:dyDescent="0.4">
      <c r="A1562" s="57"/>
      <c r="B1562" s="58"/>
      <c r="C1562" s="59" t="s">
        <v>11</v>
      </c>
      <c r="D1562" s="58" t="s">
        <v>12</v>
      </c>
      <c r="E1562" s="60">
        <v>25.41</v>
      </c>
      <c r="F1562" s="60">
        <v>240.68350000000001</v>
      </c>
    </row>
    <row r="1563" spans="1:6" s="27" customFormat="1" x14ac:dyDescent="0.4">
      <c r="A1563" s="61"/>
      <c r="B1563" s="62"/>
      <c r="C1563" s="63" t="s">
        <v>19</v>
      </c>
      <c r="D1563" s="62" t="s">
        <v>13</v>
      </c>
      <c r="E1563" s="64">
        <v>0.1</v>
      </c>
      <c r="F1563" s="64">
        <v>0.94720000000000004</v>
      </c>
    </row>
    <row r="1564" spans="1:6" s="27" customFormat="1" x14ac:dyDescent="0.4">
      <c r="A1564" s="69"/>
      <c r="B1564" s="70"/>
      <c r="C1564" s="71" t="s">
        <v>704</v>
      </c>
      <c r="D1564" s="70" t="s">
        <v>14</v>
      </c>
      <c r="E1564" s="72">
        <v>6.3E-2</v>
      </c>
      <c r="F1564" s="72">
        <v>0.59673600000000004</v>
      </c>
    </row>
    <row r="1565" spans="1:6" s="27" customFormat="1" x14ac:dyDescent="0.4">
      <c r="A1565" s="76"/>
      <c r="B1565" s="77"/>
      <c r="C1565" s="78" t="s">
        <v>705</v>
      </c>
      <c r="D1565" s="77" t="s">
        <v>14</v>
      </c>
      <c r="E1565" s="79">
        <v>5.0000000000000001E-3</v>
      </c>
      <c r="F1565" s="79">
        <v>4.7359999999999999E-2</v>
      </c>
    </row>
    <row r="1566" spans="1:6" s="27" customFormat="1" x14ac:dyDescent="0.4">
      <c r="A1566" s="76"/>
      <c r="B1566" s="77"/>
      <c r="C1566" s="78" t="s">
        <v>691</v>
      </c>
      <c r="D1566" s="77" t="s">
        <v>21</v>
      </c>
      <c r="E1566" s="79">
        <v>0.84</v>
      </c>
      <c r="F1566" s="79">
        <v>7.9565000000000001</v>
      </c>
    </row>
    <row r="1567" spans="1:6" s="27" customFormat="1" ht="58.15" x14ac:dyDescent="0.4">
      <c r="A1567" s="54" t="s">
        <v>399</v>
      </c>
      <c r="B1567" s="55" t="s">
        <v>968</v>
      </c>
      <c r="C1567" s="55" t="s">
        <v>711</v>
      </c>
      <c r="D1567" s="56" t="s">
        <v>669</v>
      </c>
      <c r="E1567" s="106">
        <v>9.4719999999999995</v>
      </c>
      <c r="F1567" s="107"/>
    </row>
    <row r="1568" spans="1:6" s="27" customFormat="1" x14ac:dyDescent="0.4">
      <c r="A1568" s="57"/>
      <c r="B1568" s="58"/>
      <c r="C1568" s="59" t="s">
        <v>11</v>
      </c>
      <c r="D1568" s="58" t="s">
        <v>12</v>
      </c>
      <c r="E1568" s="60">
        <v>159.66999999999999</v>
      </c>
      <c r="F1568" s="60">
        <v>1512.3942</v>
      </c>
    </row>
    <row r="1569" spans="1:6" s="27" customFormat="1" x14ac:dyDescent="0.4">
      <c r="A1569" s="61"/>
      <c r="B1569" s="62"/>
      <c r="C1569" s="63" t="s">
        <v>712</v>
      </c>
      <c r="D1569" s="62" t="s">
        <v>13</v>
      </c>
      <c r="E1569" s="64">
        <v>1.3</v>
      </c>
      <c r="F1569" s="64">
        <v>12.313599999999999</v>
      </c>
    </row>
    <row r="1570" spans="1:6" s="27" customFormat="1" x14ac:dyDescent="0.4">
      <c r="A1570" s="69"/>
      <c r="B1570" s="70"/>
      <c r="C1570" s="71" t="s">
        <v>713</v>
      </c>
      <c r="D1570" s="70" t="s">
        <v>14</v>
      </c>
      <c r="E1570" s="72">
        <v>0.375</v>
      </c>
      <c r="F1570" s="72">
        <v>3.552</v>
      </c>
    </row>
    <row r="1571" spans="1:6" s="27" customFormat="1" x14ac:dyDescent="0.4">
      <c r="A1571" s="76"/>
      <c r="B1571" s="77"/>
      <c r="C1571" s="78" t="s">
        <v>714</v>
      </c>
      <c r="D1571" s="77" t="s">
        <v>21</v>
      </c>
      <c r="E1571" s="80">
        <v>100</v>
      </c>
      <c r="F1571" s="79">
        <v>947.2</v>
      </c>
    </row>
    <row r="1572" spans="1:6" s="27" customFormat="1" x14ac:dyDescent="0.4">
      <c r="A1572" s="76"/>
      <c r="B1572" s="77"/>
      <c r="C1572" s="78" t="s">
        <v>715</v>
      </c>
      <c r="D1572" s="77" t="s">
        <v>14</v>
      </c>
      <c r="E1572" s="79">
        <v>0.05</v>
      </c>
      <c r="F1572" s="79">
        <v>0.47360000000000002</v>
      </c>
    </row>
    <row r="1573" spans="1:6" s="27" customFormat="1" x14ac:dyDescent="0.4">
      <c r="A1573" s="51"/>
      <c r="B1573" s="52"/>
      <c r="C1573" s="110" t="s">
        <v>965</v>
      </c>
      <c r="D1573" s="110"/>
      <c r="E1573" s="52"/>
      <c r="F1573" s="53"/>
    </row>
    <row r="1574" spans="1:6" s="27" customFormat="1" ht="116.25" x14ac:dyDescent="0.4">
      <c r="A1574" s="54" t="s">
        <v>400</v>
      </c>
      <c r="B1574" s="55" t="s">
        <v>969</v>
      </c>
      <c r="C1574" s="55" t="s">
        <v>970</v>
      </c>
      <c r="D1574" s="56" t="s">
        <v>971</v>
      </c>
      <c r="E1574" s="106">
        <v>12.16</v>
      </c>
      <c r="F1574" s="107"/>
    </row>
    <row r="1575" spans="1:6" s="27" customFormat="1" x14ac:dyDescent="0.4">
      <c r="A1575" s="57"/>
      <c r="B1575" s="58"/>
      <c r="C1575" s="59" t="s">
        <v>11</v>
      </c>
      <c r="D1575" s="58" t="s">
        <v>12</v>
      </c>
      <c r="E1575" s="60">
        <v>134.55000000000001</v>
      </c>
      <c r="F1575" s="60">
        <v>1636.1279999999999</v>
      </c>
    </row>
    <row r="1576" spans="1:6" s="27" customFormat="1" x14ac:dyDescent="0.4">
      <c r="A1576" s="61"/>
      <c r="B1576" s="62"/>
      <c r="C1576" s="63" t="s">
        <v>695</v>
      </c>
      <c r="D1576" s="62" t="s">
        <v>13</v>
      </c>
      <c r="E1576" s="64">
        <v>3.6</v>
      </c>
      <c r="F1576" s="64">
        <v>43.776000000000003</v>
      </c>
    </row>
    <row r="1577" spans="1:6" s="27" customFormat="1" x14ac:dyDescent="0.4">
      <c r="A1577" s="69"/>
      <c r="B1577" s="70"/>
      <c r="C1577" s="71" t="s">
        <v>671</v>
      </c>
      <c r="D1577" s="70" t="s">
        <v>23</v>
      </c>
      <c r="E1577" s="72">
        <v>0.7</v>
      </c>
      <c r="F1577" s="72">
        <v>8.5120000000000005</v>
      </c>
    </row>
    <row r="1578" spans="1:6" s="27" customFormat="1" x14ac:dyDescent="0.4">
      <c r="A1578" s="76"/>
      <c r="B1578" s="77"/>
      <c r="C1578" s="78" t="s">
        <v>665</v>
      </c>
      <c r="D1578" s="77" t="s">
        <v>23</v>
      </c>
      <c r="E1578" s="79">
        <v>3.2</v>
      </c>
      <c r="F1578" s="79">
        <v>38.911999999999999</v>
      </c>
    </row>
    <row r="1579" spans="1:6" s="27" customFormat="1" x14ac:dyDescent="0.4">
      <c r="A1579" s="76"/>
      <c r="B1579" s="77"/>
      <c r="C1579" s="78" t="s">
        <v>666</v>
      </c>
      <c r="D1579" s="77" t="s">
        <v>14</v>
      </c>
      <c r="E1579" s="79">
        <v>6.2E-4</v>
      </c>
      <c r="F1579" s="79">
        <v>7.5389999999999997E-3</v>
      </c>
    </row>
    <row r="1580" spans="1:6" s="27" customFormat="1" x14ac:dyDescent="0.4">
      <c r="A1580" s="76"/>
      <c r="B1580" s="77"/>
      <c r="C1580" s="78" t="s">
        <v>667</v>
      </c>
      <c r="D1580" s="77" t="s">
        <v>21</v>
      </c>
      <c r="E1580" s="80">
        <v>27</v>
      </c>
      <c r="F1580" s="79">
        <v>328.32</v>
      </c>
    </row>
    <row r="1581" spans="1:6" s="27" customFormat="1" ht="58.15" x14ac:dyDescent="0.4">
      <c r="A1581" s="54" t="s">
        <v>401</v>
      </c>
      <c r="B1581" s="55" t="s">
        <v>966</v>
      </c>
      <c r="C1581" s="55" t="s">
        <v>697</v>
      </c>
      <c r="D1581" s="56" t="s">
        <v>664</v>
      </c>
      <c r="E1581" s="106">
        <v>12.16</v>
      </c>
      <c r="F1581" s="107"/>
    </row>
    <row r="1582" spans="1:6" s="27" customFormat="1" x14ac:dyDescent="0.4">
      <c r="A1582" s="57"/>
      <c r="B1582" s="58"/>
      <c r="C1582" s="59" t="s">
        <v>11</v>
      </c>
      <c r="D1582" s="58" t="s">
        <v>12</v>
      </c>
      <c r="E1582" s="74">
        <v>56</v>
      </c>
      <c r="F1582" s="60">
        <v>680.96</v>
      </c>
    </row>
    <row r="1583" spans="1:6" s="27" customFormat="1" x14ac:dyDescent="0.4">
      <c r="A1583" s="61"/>
      <c r="B1583" s="62"/>
      <c r="C1583" s="63" t="s">
        <v>25</v>
      </c>
      <c r="D1583" s="62" t="s">
        <v>13</v>
      </c>
      <c r="E1583" s="64">
        <v>1.67</v>
      </c>
      <c r="F1583" s="64">
        <v>20.307200000000002</v>
      </c>
    </row>
    <row r="1584" spans="1:6" s="27" customFormat="1" x14ac:dyDescent="0.4">
      <c r="A1584" s="69"/>
      <c r="B1584" s="70"/>
      <c r="C1584" s="71" t="s">
        <v>698</v>
      </c>
      <c r="D1584" s="70" t="s">
        <v>14</v>
      </c>
      <c r="E1584" s="72">
        <v>0.82499999999999996</v>
      </c>
      <c r="F1584" s="72">
        <v>10.032</v>
      </c>
    </row>
    <row r="1585" spans="1:6" s="27" customFormat="1" x14ac:dyDescent="0.4">
      <c r="A1585" s="76"/>
      <c r="B1585" s="77"/>
      <c r="C1585" s="78" t="s">
        <v>699</v>
      </c>
      <c r="D1585" s="77" t="s">
        <v>14</v>
      </c>
      <c r="E1585" s="79">
        <v>1.7999999999999999E-2</v>
      </c>
      <c r="F1585" s="79">
        <v>0.21887999999999999</v>
      </c>
    </row>
    <row r="1586" spans="1:6" s="27" customFormat="1" ht="58.15" x14ac:dyDescent="0.4">
      <c r="A1586" s="54" t="s">
        <v>402</v>
      </c>
      <c r="B1586" s="55" t="s">
        <v>967</v>
      </c>
      <c r="C1586" s="55" t="s">
        <v>700</v>
      </c>
      <c r="D1586" s="56" t="s">
        <v>664</v>
      </c>
      <c r="E1586" s="106">
        <v>-12.16</v>
      </c>
      <c r="F1586" s="107"/>
    </row>
    <row r="1587" spans="1:6" s="27" customFormat="1" x14ac:dyDescent="0.4">
      <c r="A1587" s="57"/>
      <c r="B1587" s="58"/>
      <c r="C1587" s="59" t="s">
        <v>11</v>
      </c>
      <c r="D1587" s="58" t="s">
        <v>12</v>
      </c>
      <c r="E1587" s="74">
        <v>30</v>
      </c>
      <c r="F1587" s="60">
        <v>-364.8</v>
      </c>
    </row>
    <row r="1588" spans="1:6" s="27" customFormat="1" x14ac:dyDescent="0.4">
      <c r="A1588" s="61"/>
      <c r="B1588" s="62"/>
      <c r="C1588" s="63" t="s">
        <v>25</v>
      </c>
      <c r="D1588" s="62" t="s">
        <v>13</v>
      </c>
      <c r="E1588" s="64">
        <v>1.002</v>
      </c>
      <c r="F1588" s="64">
        <v>-12.1843</v>
      </c>
    </row>
    <row r="1589" spans="1:6" s="27" customFormat="1" x14ac:dyDescent="0.4">
      <c r="A1589" s="69"/>
      <c r="B1589" s="70"/>
      <c r="C1589" s="71" t="s">
        <v>698</v>
      </c>
      <c r="D1589" s="70" t="s">
        <v>14</v>
      </c>
      <c r="E1589" s="72">
        <v>0.495</v>
      </c>
      <c r="F1589" s="72">
        <v>-6.0191999999999997</v>
      </c>
    </row>
    <row r="1590" spans="1:6" s="27" customFormat="1" ht="58.15" x14ac:dyDescent="0.4">
      <c r="A1590" s="54" t="s">
        <v>403</v>
      </c>
      <c r="B1590" s="55" t="s">
        <v>701</v>
      </c>
      <c r="C1590" s="55" t="s">
        <v>702</v>
      </c>
      <c r="D1590" s="56" t="s">
        <v>703</v>
      </c>
      <c r="E1590" s="106">
        <v>12.16</v>
      </c>
      <c r="F1590" s="107"/>
    </row>
    <row r="1591" spans="1:6" s="27" customFormat="1" x14ac:dyDescent="0.4">
      <c r="A1591" s="57"/>
      <c r="B1591" s="58"/>
      <c r="C1591" s="59" t="s">
        <v>11</v>
      </c>
      <c r="D1591" s="58" t="s">
        <v>12</v>
      </c>
      <c r="E1591" s="60">
        <v>25.41</v>
      </c>
      <c r="F1591" s="60">
        <v>308.98559999999998</v>
      </c>
    </row>
    <row r="1592" spans="1:6" s="27" customFormat="1" x14ac:dyDescent="0.4">
      <c r="A1592" s="61"/>
      <c r="B1592" s="62"/>
      <c r="C1592" s="63" t="s">
        <v>19</v>
      </c>
      <c r="D1592" s="62" t="s">
        <v>13</v>
      </c>
      <c r="E1592" s="64">
        <v>0.1</v>
      </c>
      <c r="F1592" s="64">
        <v>1.216</v>
      </c>
    </row>
    <row r="1593" spans="1:6" s="27" customFormat="1" x14ac:dyDescent="0.4">
      <c r="A1593" s="69"/>
      <c r="B1593" s="70"/>
      <c r="C1593" s="71" t="s">
        <v>704</v>
      </c>
      <c r="D1593" s="70" t="s">
        <v>14</v>
      </c>
      <c r="E1593" s="72">
        <v>6.3E-2</v>
      </c>
      <c r="F1593" s="72">
        <v>0.76607999999999998</v>
      </c>
    </row>
    <row r="1594" spans="1:6" s="27" customFormat="1" x14ac:dyDescent="0.4">
      <c r="A1594" s="76"/>
      <c r="B1594" s="77"/>
      <c r="C1594" s="78" t="s">
        <v>705</v>
      </c>
      <c r="D1594" s="77" t="s">
        <v>14</v>
      </c>
      <c r="E1594" s="79">
        <v>5.0000000000000001E-3</v>
      </c>
      <c r="F1594" s="79">
        <v>6.08E-2</v>
      </c>
    </row>
    <row r="1595" spans="1:6" s="27" customFormat="1" x14ac:dyDescent="0.4">
      <c r="A1595" s="76"/>
      <c r="B1595" s="77"/>
      <c r="C1595" s="78" t="s">
        <v>691</v>
      </c>
      <c r="D1595" s="77" t="s">
        <v>21</v>
      </c>
      <c r="E1595" s="79">
        <v>0.84</v>
      </c>
      <c r="F1595" s="79">
        <v>10.214399999999999</v>
      </c>
    </row>
    <row r="1596" spans="1:6" s="27" customFormat="1" x14ac:dyDescent="0.4">
      <c r="A1596" s="51"/>
      <c r="B1596" s="52"/>
      <c r="C1596" s="110" t="s">
        <v>972</v>
      </c>
      <c r="D1596" s="110"/>
      <c r="E1596" s="52"/>
      <c r="F1596" s="53"/>
    </row>
    <row r="1597" spans="1:6" s="27" customFormat="1" x14ac:dyDescent="0.4">
      <c r="A1597" s="51"/>
      <c r="B1597" s="52"/>
      <c r="C1597" s="110" t="s">
        <v>939</v>
      </c>
      <c r="D1597" s="110"/>
      <c r="E1597" s="52"/>
      <c r="F1597" s="53"/>
    </row>
    <row r="1598" spans="1:6" s="27" customFormat="1" ht="23.25" x14ac:dyDescent="0.4">
      <c r="A1598" s="54" t="s">
        <v>404</v>
      </c>
      <c r="B1598" s="55" t="s">
        <v>973</v>
      </c>
      <c r="C1598" s="55" t="s">
        <v>974</v>
      </c>
      <c r="D1598" s="56" t="s">
        <v>508</v>
      </c>
      <c r="E1598" s="106">
        <v>7.48</v>
      </c>
      <c r="F1598" s="107"/>
    </row>
    <row r="1599" spans="1:6" s="27" customFormat="1" x14ac:dyDescent="0.4">
      <c r="A1599" s="57"/>
      <c r="B1599" s="58"/>
      <c r="C1599" s="59" t="s">
        <v>11</v>
      </c>
      <c r="D1599" s="58" t="s">
        <v>12</v>
      </c>
      <c r="E1599" s="60">
        <v>40.65</v>
      </c>
      <c r="F1599" s="60">
        <v>304.06200000000001</v>
      </c>
    </row>
    <row r="1600" spans="1:6" s="27" customFormat="1" x14ac:dyDescent="0.4">
      <c r="A1600" s="61"/>
      <c r="B1600" s="62"/>
      <c r="C1600" s="63" t="s">
        <v>601</v>
      </c>
      <c r="D1600" s="62" t="s">
        <v>13</v>
      </c>
      <c r="E1600" s="64">
        <v>4.7</v>
      </c>
      <c r="F1600" s="64">
        <v>35.155999999999999</v>
      </c>
    </row>
    <row r="1601" spans="1:6" s="27" customFormat="1" x14ac:dyDescent="0.4">
      <c r="A1601" s="69"/>
      <c r="B1601" s="70"/>
      <c r="C1601" s="71" t="s">
        <v>142</v>
      </c>
      <c r="D1601" s="70" t="s">
        <v>23</v>
      </c>
      <c r="E1601" s="72">
        <v>2.04</v>
      </c>
      <c r="F1601" s="72">
        <v>15.2592</v>
      </c>
    </row>
    <row r="1602" spans="1:6" s="27" customFormat="1" ht="23.25" x14ac:dyDescent="0.4">
      <c r="A1602" s="54" t="s">
        <v>405</v>
      </c>
      <c r="B1602" s="55" t="s">
        <v>975</v>
      </c>
      <c r="C1602" s="55" t="s">
        <v>976</v>
      </c>
      <c r="D1602" s="56" t="s">
        <v>508</v>
      </c>
      <c r="E1602" s="106">
        <v>7.48</v>
      </c>
      <c r="F1602" s="107"/>
    </row>
    <row r="1603" spans="1:6" s="27" customFormat="1" x14ac:dyDescent="0.4">
      <c r="A1603" s="57"/>
      <c r="B1603" s="58"/>
      <c r="C1603" s="59" t="s">
        <v>11</v>
      </c>
      <c r="D1603" s="58" t="s">
        <v>12</v>
      </c>
      <c r="E1603" s="74">
        <v>6</v>
      </c>
      <c r="F1603" s="60">
        <v>44.88</v>
      </c>
    </row>
    <row r="1604" spans="1:6" s="27" customFormat="1" x14ac:dyDescent="0.4">
      <c r="A1604" s="61"/>
      <c r="B1604" s="62"/>
      <c r="C1604" s="63" t="s">
        <v>601</v>
      </c>
      <c r="D1604" s="62" t="s">
        <v>13</v>
      </c>
      <c r="E1604" s="64">
        <v>27.84</v>
      </c>
      <c r="F1604" s="64">
        <v>208.2432</v>
      </c>
    </row>
    <row r="1605" spans="1:6" s="27" customFormat="1" x14ac:dyDescent="0.4">
      <c r="A1605" s="69"/>
      <c r="B1605" s="70"/>
      <c r="C1605" s="71" t="s">
        <v>142</v>
      </c>
      <c r="D1605" s="70" t="s">
        <v>23</v>
      </c>
      <c r="E1605" s="72">
        <v>6.12</v>
      </c>
      <c r="F1605" s="72">
        <v>45.7776</v>
      </c>
    </row>
    <row r="1606" spans="1:6" s="27" customFormat="1" ht="23.25" x14ac:dyDescent="0.4">
      <c r="A1606" s="54" t="s">
        <v>406</v>
      </c>
      <c r="B1606" s="55" t="s">
        <v>977</v>
      </c>
      <c r="C1606" s="55" t="s">
        <v>978</v>
      </c>
      <c r="D1606" s="56" t="s">
        <v>508</v>
      </c>
      <c r="E1606" s="106">
        <v>7.48</v>
      </c>
      <c r="F1606" s="107"/>
    </row>
    <row r="1607" spans="1:6" s="27" customFormat="1" x14ac:dyDescent="0.4">
      <c r="A1607" s="57"/>
      <c r="B1607" s="58"/>
      <c r="C1607" s="59" t="s">
        <v>11</v>
      </c>
      <c r="D1607" s="58" t="s">
        <v>12</v>
      </c>
      <c r="E1607" s="60">
        <v>41.67</v>
      </c>
      <c r="F1607" s="60">
        <v>311.69159999999999</v>
      </c>
    </row>
    <row r="1608" spans="1:6" s="27" customFormat="1" x14ac:dyDescent="0.4">
      <c r="A1608" s="61"/>
      <c r="B1608" s="62"/>
      <c r="C1608" s="63" t="s">
        <v>979</v>
      </c>
      <c r="D1608" s="62" t="s">
        <v>13</v>
      </c>
      <c r="E1608" s="64">
        <v>15.16</v>
      </c>
      <c r="F1608" s="64">
        <v>113.3968</v>
      </c>
    </row>
    <row r="1609" spans="1:6" s="27" customFormat="1" x14ac:dyDescent="0.4">
      <c r="A1609" s="65"/>
      <c r="B1609" s="66"/>
      <c r="C1609" s="67" t="s">
        <v>509</v>
      </c>
      <c r="D1609" s="66" t="s">
        <v>13</v>
      </c>
      <c r="E1609" s="68">
        <v>2.34</v>
      </c>
      <c r="F1609" s="68">
        <v>17.5032</v>
      </c>
    </row>
    <row r="1610" spans="1:6" s="27" customFormat="1" x14ac:dyDescent="0.4">
      <c r="A1610" s="65"/>
      <c r="B1610" s="66"/>
      <c r="C1610" s="67" t="s">
        <v>19</v>
      </c>
      <c r="D1610" s="66" t="s">
        <v>13</v>
      </c>
      <c r="E1610" s="68">
        <v>0.9</v>
      </c>
      <c r="F1610" s="68">
        <v>6.7320000000000002</v>
      </c>
    </row>
    <row r="1611" spans="1:6" s="27" customFormat="1" x14ac:dyDescent="0.4">
      <c r="A1611" s="69"/>
      <c r="B1611" s="70"/>
      <c r="C1611" s="71" t="s">
        <v>980</v>
      </c>
      <c r="D1611" s="70" t="s">
        <v>14</v>
      </c>
      <c r="E1611" s="72">
        <v>0.25</v>
      </c>
      <c r="F1611" s="72">
        <v>1.87</v>
      </c>
    </row>
    <row r="1612" spans="1:6" s="27" customFormat="1" x14ac:dyDescent="0.4">
      <c r="A1612" s="76"/>
      <c r="B1612" s="77"/>
      <c r="C1612" s="78" t="s">
        <v>511</v>
      </c>
      <c r="D1612" s="77" t="s">
        <v>21</v>
      </c>
      <c r="E1612" s="80">
        <v>120</v>
      </c>
      <c r="F1612" s="79">
        <v>897.6</v>
      </c>
    </row>
    <row r="1613" spans="1:6" s="27" customFormat="1" x14ac:dyDescent="0.4">
      <c r="A1613" s="76"/>
      <c r="B1613" s="77"/>
      <c r="C1613" s="78" t="s">
        <v>110</v>
      </c>
      <c r="D1613" s="77" t="s">
        <v>76</v>
      </c>
      <c r="E1613" s="80">
        <v>30</v>
      </c>
      <c r="F1613" s="79">
        <v>224.4</v>
      </c>
    </row>
    <row r="1614" spans="1:6" s="27" customFormat="1" x14ac:dyDescent="0.4">
      <c r="A1614" s="51"/>
      <c r="B1614" s="52"/>
      <c r="C1614" s="110" t="s">
        <v>940</v>
      </c>
      <c r="D1614" s="110"/>
      <c r="E1614" s="52"/>
      <c r="F1614" s="53"/>
    </row>
    <row r="1615" spans="1:6" s="27" customFormat="1" ht="23.25" x14ac:dyDescent="0.4">
      <c r="A1615" s="54" t="s">
        <v>407</v>
      </c>
      <c r="B1615" s="55" t="s">
        <v>981</v>
      </c>
      <c r="C1615" s="55" t="s">
        <v>982</v>
      </c>
      <c r="D1615" s="56" t="s">
        <v>508</v>
      </c>
      <c r="E1615" s="106">
        <v>2.5510000000000002</v>
      </c>
      <c r="F1615" s="107"/>
    </row>
    <row r="1616" spans="1:6" s="27" customFormat="1" x14ac:dyDescent="0.4">
      <c r="A1616" s="57"/>
      <c r="B1616" s="58"/>
      <c r="C1616" s="59" t="s">
        <v>11</v>
      </c>
      <c r="D1616" s="58" t="s">
        <v>12</v>
      </c>
      <c r="E1616" s="60">
        <v>260.01</v>
      </c>
      <c r="F1616" s="60">
        <v>663.28549999999996</v>
      </c>
    </row>
    <row r="1617" spans="1:6" s="27" customFormat="1" x14ac:dyDescent="0.4">
      <c r="A1617" s="61"/>
      <c r="B1617" s="62"/>
      <c r="C1617" s="63" t="s">
        <v>539</v>
      </c>
      <c r="D1617" s="62" t="s">
        <v>13</v>
      </c>
      <c r="E1617" s="64">
        <v>1.32</v>
      </c>
      <c r="F1617" s="64">
        <v>3.3673000000000002</v>
      </c>
    </row>
    <row r="1618" spans="1:6" s="27" customFormat="1" x14ac:dyDescent="0.4">
      <c r="A1618" s="65"/>
      <c r="B1618" s="66"/>
      <c r="C1618" s="67" t="s">
        <v>717</v>
      </c>
      <c r="D1618" s="66" t="s">
        <v>13</v>
      </c>
      <c r="E1618" s="68">
        <v>1.7</v>
      </c>
      <c r="F1618" s="68">
        <v>4.3367000000000004</v>
      </c>
    </row>
    <row r="1619" spans="1:6" s="27" customFormat="1" x14ac:dyDescent="0.4">
      <c r="A1619" s="65"/>
      <c r="B1619" s="66"/>
      <c r="C1619" s="67" t="s">
        <v>19</v>
      </c>
      <c r="D1619" s="66" t="s">
        <v>13</v>
      </c>
      <c r="E1619" s="68">
        <v>0.36</v>
      </c>
      <c r="F1619" s="68">
        <v>0.91835999999999995</v>
      </c>
    </row>
    <row r="1620" spans="1:6" s="27" customFormat="1" x14ac:dyDescent="0.4">
      <c r="A1620" s="69"/>
      <c r="B1620" s="70"/>
      <c r="C1620" s="71" t="s">
        <v>720</v>
      </c>
      <c r="D1620" s="70" t="s">
        <v>23</v>
      </c>
      <c r="E1620" s="72">
        <v>2.5</v>
      </c>
      <c r="F1620" s="72">
        <v>6.3775000000000004</v>
      </c>
    </row>
    <row r="1621" spans="1:6" s="27" customFormat="1" x14ac:dyDescent="0.4">
      <c r="A1621" s="76"/>
      <c r="B1621" s="77"/>
      <c r="C1621" s="78" t="s">
        <v>983</v>
      </c>
      <c r="D1621" s="77" t="s">
        <v>21</v>
      </c>
      <c r="E1621" s="80">
        <v>100</v>
      </c>
      <c r="F1621" s="79">
        <v>255.1</v>
      </c>
    </row>
    <row r="1622" spans="1:6" s="27" customFormat="1" ht="23.25" x14ac:dyDescent="0.4">
      <c r="A1622" s="54" t="s">
        <v>408</v>
      </c>
      <c r="B1622" s="55" t="s">
        <v>718</v>
      </c>
      <c r="C1622" s="55" t="s">
        <v>719</v>
      </c>
      <c r="D1622" s="56" t="s">
        <v>508</v>
      </c>
      <c r="E1622" s="106">
        <v>2.5510000000000002</v>
      </c>
      <c r="F1622" s="107"/>
    </row>
    <row r="1623" spans="1:6" s="27" customFormat="1" x14ac:dyDescent="0.4">
      <c r="A1623" s="57"/>
      <c r="B1623" s="58"/>
      <c r="C1623" s="59" t="s">
        <v>11</v>
      </c>
      <c r="D1623" s="58" t="s">
        <v>12</v>
      </c>
      <c r="E1623" s="60">
        <v>39.51</v>
      </c>
      <c r="F1623" s="60">
        <v>100.79</v>
      </c>
    </row>
    <row r="1624" spans="1:6" s="27" customFormat="1" x14ac:dyDescent="0.4">
      <c r="A1624" s="61"/>
      <c r="B1624" s="62"/>
      <c r="C1624" s="63" t="s">
        <v>601</v>
      </c>
      <c r="D1624" s="62" t="s">
        <v>13</v>
      </c>
      <c r="E1624" s="64">
        <v>9.07</v>
      </c>
      <c r="F1624" s="64">
        <v>23.137599999999999</v>
      </c>
    </row>
    <row r="1625" spans="1:6" s="27" customFormat="1" x14ac:dyDescent="0.4">
      <c r="A1625" s="69"/>
      <c r="B1625" s="70"/>
      <c r="C1625" s="71" t="s">
        <v>720</v>
      </c>
      <c r="D1625" s="70" t="s">
        <v>23</v>
      </c>
      <c r="E1625" s="72">
        <v>2.04</v>
      </c>
      <c r="F1625" s="72">
        <v>5.2039999999999997</v>
      </c>
    </row>
    <row r="1626" spans="1:6" s="27" customFormat="1" ht="23.25" x14ac:dyDescent="0.4">
      <c r="A1626" s="54" t="s">
        <v>409</v>
      </c>
      <c r="B1626" s="55" t="s">
        <v>729</v>
      </c>
      <c r="C1626" s="55" t="s">
        <v>721</v>
      </c>
      <c r="D1626" s="56" t="s">
        <v>508</v>
      </c>
      <c r="E1626" s="106">
        <v>2.5510000000000002</v>
      </c>
      <c r="F1626" s="107"/>
    </row>
    <row r="1627" spans="1:6" s="27" customFormat="1" x14ac:dyDescent="0.4">
      <c r="A1627" s="57"/>
      <c r="B1627" s="58"/>
      <c r="C1627" s="59" t="s">
        <v>11</v>
      </c>
      <c r="D1627" s="58" t="s">
        <v>12</v>
      </c>
      <c r="E1627" s="74">
        <v>1</v>
      </c>
      <c r="F1627" s="60">
        <v>2.5510000000000002</v>
      </c>
    </row>
    <row r="1628" spans="1:6" s="27" customFormat="1" x14ac:dyDescent="0.4">
      <c r="A1628" s="61"/>
      <c r="B1628" s="62"/>
      <c r="C1628" s="63" t="s">
        <v>601</v>
      </c>
      <c r="D1628" s="62" t="s">
        <v>13</v>
      </c>
      <c r="E1628" s="64">
        <v>4.6399999999999997</v>
      </c>
      <c r="F1628" s="64">
        <v>11.836600000000001</v>
      </c>
    </row>
    <row r="1629" spans="1:6" s="27" customFormat="1" x14ac:dyDescent="0.4">
      <c r="A1629" s="69"/>
      <c r="B1629" s="70"/>
      <c r="C1629" s="71" t="s">
        <v>720</v>
      </c>
      <c r="D1629" s="70" t="s">
        <v>23</v>
      </c>
      <c r="E1629" s="72">
        <v>1.02</v>
      </c>
      <c r="F1629" s="72">
        <v>2.6019999999999999</v>
      </c>
    </row>
    <row r="1630" spans="1:6" s="27" customFormat="1" x14ac:dyDescent="0.4">
      <c r="A1630" s="54" t="s">
        <v>410</v>
      </c>
      <c r="B1630" s="55" t="s">
        <v>34</v>
      </c>
      <c r="C1630" s="55" t="s">
        <v>741</v>
      </c>
      <c r="D1630" s="56" t="s">
        <v>21</v>
      </c>
      <c r="E1630" s="104">
        <v>255.1</v>
      </c>
      <c r="F1630" s="105"/>
    </row>
    <row r="1631" spans="1:6" s="27" customFormat="1" ht="58.15" x14ac:dyDescent="0.4">
      <c r="A1631" s="54" t="s">
        <v>411</v>
      </c>
      <c r="B1631" s="55" t="s">
        <v>722</v>
      </c>
      <c r="C1631" s="55" t="s">
        <v>723</v>
      </c>
      <c r="D1631" s="56" t="s">
        <v>724</v>
      </c>
      <c r="E1631" s="106">
        <v>2.5510000000000002</v>
      </c>
      <c r="F1631" s="107"/>
    </row>
    <row r="1632" spans="1:6" s="27" customFormat="1" x14ac:dyDescent="0.4">
      <c r="A1632" s="57"/>
      <c r="B1632" s="58"/>
      <c r="C1632" s="59" t="s">
        <v>11</v>
      </c>
      <c r="D1632" s="58" t="s">
        <v>12</v>
      </c>
      <c r="E1632" s="60">
        <v>14.36</v>
      </c>
      <c r="F1632" s="60">
        <v>36.632399999999997</v>
      </c>
    </row>
    <row r="1633" spans="1:6" s="27" customFormat="1" x14ac:dyDescent="0.4">
      <c r="A1633" s="61"/>
      <c r="B1633" s="62"/>
      <c r="C1633" s="63" t="s">
        <v>19</v>
      </c>
      <c r="D1633" s="62" t="s">
        <v>13</v>
      </c>
      <c r="E1633" s="64">
        <v>0.25</v>
      </c>
      <c r="F1633" s="64">
        <v>0.63775000000000004</v>
      </c>
    </row>
    <row r="1634" spans="1:6" s="27" customFormat="1" x14ac:dyDescent="0.4">
      <c r="A1634" s="69"/>
      <c r="B1634" s="70"/>
      <c r="C1634" s="71" t="s">
        <v>725</v>
      </c>
      <c r="D1634" s="70" t="s">
        <v>21</v>
      </c>
      <c r="E1634" s="73">
        <v>115</v>
      </c>
      <c r="F1634" s="72">
        <v>293.36500000000001</v>
      </c>
    </row>
    <row r="1635" spans="1:6" s="27" customFormat="1" ht="23.25" x14ac:dyDescent="0.4">
      <c r="A1635" s="54" t="s">
        <v>412</v>
      </c>
      <c r="B1635" s="55" t="s">
        <v>742</v>
      </c>
      <c r="C1635" s="55" t="s">
        <v>743</v>
      </c>
      <c r="D1635" s="56" t="s">
        <v>508</v>
      </c>
      <c r="E1635" s="106">
        <v>2.5510000000000002</v>
      </c>
      <c r="F1635" s="107"/>
    </row>
    <row r="1636" spans="1:6" s="27" customFormat="1" x14ac:dyDescent="0.4">
      <c r="A1636" s="57"/>
      <c r="B1636" s="58"/>
      <c r="C1636" s="59" t="s">
        <v>11</v>
      </c>
      <c r="D1636" s="58" t="s">
        <v>12</v>
      </c>
      <c r="E1636" s="60">
        <v>28.38</v>
      </c>
      <c r="F1636" s="60">
        <v>72.397400000000005</v>
      </c>
    </row>
    <row r="1637" spans="1:6" s="27" customFormat="1" x14ac:dyDescent="0.4">
      <c r="A1637" s="61"/>
      <c r="B1637" s="62"/>
      <c r="C1637" s="63" t="s">
        <v>19</v>
      </c>
      <c r="D1637" s="62" t="s">
        <v>13</v>
      </c>
      <c r="E1637" s="64">
        <v>0.98</v>
      </c>
      <c r="F1637" s="64">
        <v>2.5</v>
      </c>
    </row>
    <row r="1638" spans="1:6" s="27" customFormat="1" ht="23.25" x14ac:dyDescent="0.4">
      <c r="A1638" s="54" t="s">
        <v>413</v>
      </c>
      <c r="B1638" s="55" t="s">
        <v>34</v>
      </c>
      <c r="C1638" s="55" t="s">
        <v>744</v>
      </c>
      <c r="D1638" s="56" t="s">
        <v>21</v>
      </c>
      <c r="E1638" s="104">
        <v>262.75299999999999</v>
      </c>
      <c r="F1638" s="105"/>
    </row>
    <row r="1639" spans="1:6" s="27" customFormat="1" ht="23.25" x14ac:dyDescent="0.4">
      <c r="A1639" s="54" t="s">
        <v>414</v>
      </c>
      <c r="B1639" s="55" t="s">
        <v>745</v>
      </c>
      <c r="C1639" s="55" t="s">
        <v>746</v>
      </c>
      <c r="D1639" s="56" t="s">
        <v>508</v>
      </c>
      <c r="E1639" s="106">
        <v>2.5510000000000002</v>
      </c>
      <c r="F1639" s="107"/>
    </row>
    <row r="1640" spans="1:6" s="27" customFormat="1" x14ac:dyDescent="0.4">
      <c r="A1640" s="57"/>
      <c r="B1640" s="58"/>
      <c r="C1640" s="59" t="s">
        <v>11</v>
      </c>
      <c r="D1640" s="58" t="s">
        <v>12</v>
      </c>
      <c r="E1640" s="60">
        <v>46.18</v>
      </c>
      <c r="F1640" s="60">
        <v>117.8052</v>
      </c>
    </row>
    <row r="1641" spans="1:6" s="27" customFormat="1" x14ac:dyDescent="0.4">
      <c r="A1641" s="61"/>
      <c r="B1641" s="62"/>
      <c r="C1641" s="63" t="s">
        <v>509</v>
      </c>
      <c r="D1641" s="62" t="s">
        <v>13</v>
      </c>
      <c r="E1641" s="64">
        <v>8.0500000000000007</v>
      </c>
      <c r="F1641" s="64">
        <v>20.535499999999999</v>
      </c>
    </row>
    <row r="1642" spans="1:6" s="27" customFormat="1" x14ac:dyDescent="0.4">
      <c r="A1642" s="65"/>
      <c r="B1642" s="66"/>
      <c r="C1642" s="67" t="s">
        <v>19</v>
      </c>
      <c r="D1642" s="66" t="s">
        <v>13</v>
      </c>
      <c r="E1642" s="68">
        <v>0.59</v>
      </c>
      <c r="F1642" s="68">
        <v>1.5051000000000001</v>
      </c>
    </row>
    <row r="1643" spans="1:6" s="27" customFormat="1" x14ac:dyDescent="0.4">
      <c r="A1643" s="69"/>
      <c r="B1643" s="70"/>
      <c r="C1643" s="71" t="s">
        <v>747</v>
      </c>
      <c r="D1643" s="70" t="s">
        <v>14</v>
      </c>
      <c r="E1643" s="72">
        <v>0.28899999999999998</v>
      </c>
      <c r="F1643" s="72">
        <v>0.73723899999999998</v>
      </c>
    </row>
    <row r="1644" spans="1:6" s="27" customFormat="1" x14ac:dyDescent="0.4">
      <c r="A1644" s="76"/>
      <c r="B1644" s="77"/>
      <c r="C1644" s="78" t="s">
        <v>748</v>
      </c>
      <c r="D1644" s="77" t="s">
        <v>14</v>
      </c>
      <c r="E1644" s="79">
        <v>5.7000000000000002E-2</v>
      </c>
      <c r="F1644" s="79">
        <v>0.14540700000000001</v>
      </c>
    </row>
    <row r="1645" spans="1:6" s="27" customFormat="1" x14ac:dyDescent="0.4">
      <c r="A1645" s="76"/>
      <c r="B1645" s="77"/>
      <c r="C1645" s="78" t="s">
        <v>749</v>
      </c>
      <c r="D1645" s="77" t="s">
        <v>14</v>
      </c>
      <c r="E1645" s="79">
        <v>9.5000000000000001E-2</v>
      </c>
      <c r="F1645" s="79">
        <v>0.242345</v>
      </c>
    </row>
    <row r="1646" spans="1:6" s="27" customFormat="1" x14ac:dyDescent="0.4">
      <c r="A1646" s="76"/>
      <c r="B1646" s="77"/>
      <c r="C1646" s="78" t="s">
        <v>750</v>
      </c>
      <c r="D1646" s="77" t="s">
        <v>21</v>
      </c>
      <c r="E1646" s="80">
        <v>116</v>
      </c>
      <c r="F1646" s="79">
        <v>295.916</v>
      </c>
    </row>
    <row r="1647" spans="1:6" s="27" customFormat="1" x14ac:dyDescent="0.4">
      <c r="A1647" s="51"/>
      <c r="B1647" s="52"/>
      <c r="C1647" s="110" t="s">
        <v>957</v>
      </c>
      <c r="D1647" s="110"/>
      <c r="E1647" s="52"/>
      <c r="F1647" s="53"/>
    </row>
    <row r="1648" spans="1:6" s="27" customFormat="1" ht="23.25" x14ac:dyDescent="0.4">
      <c r="A1648" s="54" t="s">
        <v>415</v>
      </c>
      <c r="B1648" s="55" t="s">
        <v>981</v>
      </c>
      <c r="C1648" s="55" t="s">
        <v>982</v>
      </c>
      <c r="D1648" s="56" t="s">
        <v>508</v>
      </c>
      <c r="E1648" s="106">
        <v>14.574999999999999</v>
      </c>
      <c r="F1648" s="107"/>
    </row>
    <row r="1649" spans="1:6" s="27" customFormat="1" x14ac:dyDescent="0.4">
      <c r="A1649" s="57"/>
      <c r="B1649" s="58"/>
      <c r="C1649" s="59" t="s">
        <v>11</v>
      </c>
      <c r="D1649" s="58" t="s">
        <v>12</v>
      </c>
      <c r="E1649" s="60">
        <v>260.01</v>
      </c>
      <c r="F1649" s="60">
        <v>3789.6457999999998</v>
      </c>
    </row>
    <row r="1650" spans="1:6" s="27" customFormat="1" x14ac:dyDescent="0.4">
      <c r="A1650" s="61"/>
      <c r="B1650" s="62"/>
      <c r="C1650" s="63" t="s">
        <v>539</v>
      </c>
      <c r="D1650" s="62" t="s">
        <v>13</v>
      </c>
      <c r="E1650" s="64">
        <v>1.32</v>
      </c>
      <c r="F1650" s="64">
        <v>19.239000000000001</v>
      </c>
    </row>
    <row r="1651" spans="1:6" s="27" customFormat="1" x14ac:dyDescent="0.4">
      <c r="A1651" s="65"/>
      <c r="B1651" s="66"/>
      <c r="C1651" s="67" t="s">
        <v>717</v>
      </c>
      <c r="D1651" s="66" t="s">
        <v>13</v>
      </c>
      <c r="E1651" s="68">
        <v>1.7</v>
      </c>
      <c r="F1651" s="68">
        <v>24.7775</v>
      </c>
    </row>
    <row r="1652" spans="1:6" s="27" customFormat="1" x14ac:dyDescent="0.4">
      <c r="A1652" s="65"/>
      <c r="B1652" s="66"/>
      <c r="C1652" s="67" t="s">
        <v>19</v>
      </c>
      <c r="D1652" s="66" t="s">
        <v>13</v>
      </c>
      <c r="E1652" s="68">
        <v>0.36</v>
      </c>
      <c r="F1652" s="68">
        <v>5.2469999999999999</v>
      </c>
    </row>
    <row r="1653" spans="1:6" s="27" customFormat="1" x14ac:dyDescent="0.4">
      <c r="A1653" s="69"/>
      <c r="B1653" s="70"/>
      <c r="C1653" s="71" t="s">
        <v>720</v>
      </c>
      <c r="D1653" s="70" t="s">
        <v>23</v>
      </c>
      <c r="E1653" s="72">
        <v>2.5</v>
      </c>
      <c r="F1653" s="72">
        <v>36.4375</v>
      </c>
    </row>
    <row r="1654" spans="1:6" s="27" customFormat="1" x14ac:dyDescent="0.4">
      <c r="A1654" s="76"/>
      <c r="B1654" s="77"/>
      <c r="C1654" s="78" t="s">
        <v>983</v>
      </c>
      <c r="D1654" s="77" t="s">
        <v>21</v>
      </c>
      <c r="E1654" s="80">
        <v>100</v>
      </c>
      <c r="F1654" s="79">
        <v>1457.5</v>
      </c>
    </row>
    <row r="1655" spans="1:6" s="27" customFormat="1" ht="23.25" x14ac:dyDescent="0.4">
      <c r="A1655" s="54" t="s">
        <v>416</v>
      </c>
      <c r="B1655" s="55" t="s">
        <v>718</v>
      </c>
      <c r="C1655" s="55" t="s">
        <v>719</v>
      </c>
      <c r="D1655" s="56" t="s">
        <v>508</v>
      </c>
      <c r="E1655" s="106">
        <v>14.574999999999999</v>
      </c>
      <c r="F1655" s="107"/>
    </row>
    <row r="1656" spans="1:6" s="27" customFormat="1" x14ac:dyDescent="0.4">
      <c r="A1656" s="57"/>
      <c r="B1656" s="58"/>
      <c r="C1656" s="59" t="s">
        <v>11</v>
      </c>
      <c r="D1656" s="58" t="s">
        <v>12</v>
      </c>
      <c r="E1656" s="60">
        <v>39.51</v>
      </c>
      <c r="F1656" s="60">
        <v>575.85820000000001</v>
      </c>
    </row>
    <row r="1657" spans="1:6" s="27" customFormat="1" x14ac:dyDescent="0.4">
      <c r="A1657" s="61"/>
      <c r="B1657" s="62"/>
      <c r="C1657" s="63" t="s">
        <v>601</v>
      </c>
      <c r="D1657" s="62" t="s">
        <v>13</v>
      </c>
      <c r="E1657" s="64">
        <v>9.07</v>
      </c>
      <c r="F1657" s="64">
        <v>132.1952</v>
      </c>
    </row>
    <row r="1658" spans="1:6" s="27" customFormat="1" x14ac:dyDescent="0.4">
      <c r="A1658" s="69"/>
      <c r="B1658" s="70"/>
      <c r="C1658" s="71" t="s">
        <v>720</v>
      </c>
      <c r="D1658" s="70" t="s">
        <v>23</v>
      </c>
      <c r="E1658" s="72">
        <v>2.04</v>
      </c>
      <c r="F1658" s="72">
        <v>29.733000000000001</v>
      </c>
    </row>
    <row r="1659" spans="1:6" s="27" customFormat="1" ht="23.25" x14ac:dyDescent="0.4">
      <c r="A1659" s="54" t="s">
        <v>417</v>
      </c>
      <c r="B1659" s="55" t="s">
        <v>729</v>
      </c>
      <c r="C1659" s="55" t="s">
        <v>721</v>
      </c>
      <c r="D1659" s="56" t="s">
        <v>508</v>
      </c>
      <c r="E1659" s="106">
        <v>14.574999999999999</v>
      </c>
      <c r="F1659" s="107"/>
    </row>
    <row r="1660" spans="1:6" s="27" customFormat="1" x14ac:dyDescent="0.4">
      <c r="A1660" s="57"/>
      <c r="B1660" s="58"/>
      <c r="C1660" s="59" t="s">
        <v>11</v>
      </c>
      <c r="D1660" s="58" t="s">
        <v>12</v>
      </c>
      <c r="E1660" s="74">
        <v>1</v>
      </c>
      <c r="F1660" s="60">
        <v>14.574999999999999</v>
      </c>
    </row>
    <row r="1661" spans="1:6" s="27" customFormat="1" x14ac:dyDescent="0.4">
      <c r="A1661" s="61"/>
      <c r="B1661" s="62"/>
      <c r="C1661" s="63" t="s">
        <v>601</v>
      </c>
      <c r="D1661" s="62" t="s">
        <v>13</v>
      </c>
      <c r="E1661" s="64">
        <v>4.6399999999999997</v>
      </c>
      <c r="F1661" s="64">
        <v>67.628</v>
      </c>
    </row>
    <row r="1662" spans="1:6" s="27" customFormat="1" x14ac:dyDescent="0.4">
      <c r="A1662" s="69"/>
      <c r="B1662" s="70"/>
      <c r="C1662" s="71" t="s">
        <v>720</v>
      </c>
      <c r="D1662" s="70" t="s">
        <v>23</v>
      </c>
      <c r="E1662" s="72">
        <v>1.02</v>
      </c>
      <c r="F1662" s="72">
        <v>14.8665</v>
      </c>
    </row>
    <row r="1663" spans="1:6" s="27" customFormat="1" x14ac:dyDescent="0.4">
      <c r="A1663" s="54" t="s">
        <v>418</v>
      </c>
      <c r="B1663" s="55" t="s">
        <v>34</v>
      </c>
      <c r="C1663" s="55" t="s">
        <v>741</v>
      </c>
      <c r="D1663" s="56" t="s">
        <v>21</v>
      </c>
      <c r="E1663" s="104">
        <v>1457.5</v>
      </c>
      <c r="F1663" s="105"/>
    </row>
    <row r="1664" spans="1:6" s="27" customFormat="1" ht="58.15" x14ac:dyDescent="0.4">
      <c r="A1664" s="54" t="s">
        <v>419</v>
      </c>
      <c r="B1664" s="55" t="s">
        <v>722</v>
      </c>
      <c r="C1664" s="55" t="s">
        <v>723</v>
      </c>
      <c r="D1664" s="56" t="s">
        <v>724</v>
      </c>
      <c r="E1664" s="106">
        <v>14.574999999999999</v>
      </c>
      <c r="F1664" s="107"/>
    </row>
    <row r="1665" spans="1:6" s="27" customFormat="1" x14ac:dyDescent="0.4">
      <c r="A1665" s="57"/>
      <c r="B1665" s="58"/>
      <c r="C1665" s="59" t="s">
        <v>11</v>
      </c>
      <c r="D1665" s="58" t="s">
        <v>12</v>
      </c>
      <c r="E1665" s="60">
        <v>14.36</v>
      </c>
      <c r="F1665" s="60">
        <v>209.297</v>
      </c>
    </row>
    <row r="1666" spans="1:6" s="27" customFormat="1" x14ac:dyDescent="0.4">
      <c r="A1666" s="61"/>
      <c r="B1666" s="62"/>
      <c r="C1666" s="63" t="s">
        <v>19</v>
      </c>
      <c r="D1666" s="62" t="s">
        <v>13</v>
      </c>
      <c r="E1666" s="64">
        <v>0.25</v>
      </c>
      <c r="F1666" s="64">
        <v>3.6436999999999999</v>
      </c>
    </row>
    <row r="1667" spans="1:6" s="27" customFormat="1" x14ac:dyDescent="0.4">
      <c r="A1667" s="69"/>
      <c r="B1667" s="70"/>
      <c r="C1667" s="71" t="s">
        <v>725</v>
      </c>
      <c r="D1667" s="70" t="s">
        <v>21</v>
      </c>
      <c r="E1667" s="73">
        <v>115</v>
      </c>
      <c r="F1667" s="72">
        <v>1676.125</v>
      </c>
    </row>
    <row r="1668" spans="1:6" s="27" customFormat="1" ht="23.25" x14ac:dyDescent="0.4">
      <c r="A1668" s="54" t="s">
        <v>420</v>
      </c>
      <c r="B1668" s="55" t="s">
        <v>742</v>
      </c>
      <c r="C1668" s="55" t="s">
        <v>743</v>
      </c>
      <c r="D1668" s="56" t="s">
        <v>508</v>
      </c>
      <c r="E1668" s="106">
        <v>14.574999999999999</v>
      </c>
      <c r="F1668" s="107"/>
    </row>
    <row r="1669" spans="1:6" s="27" customFormat="1" x14ac:dyDescent="0.4">
      <c r="A1669" s="57"/>
      <c r="B1669" s="58"/>
      <c r="C1669" s="59" t="s">
        <v>11</v>
      </c>
      <c r="D1669" s="58" t="s">
        <v>12</v>
      </c>
      <c r="E1669" s="60">
        <v>28.38</v>
      </c>
      <c r="F1669" s="60">
        <v>413.63850000000002</v>
      </c>
    </row>
    <row r="1670" spans="1:6" s="27" customFormat="1" x14ac:dyDescent="0.4">
      <c r="A1670" s="61"/>
      <c r="B1670" s="62"/>
      <c r="C1670" s="63" t="s">
        <v>19</v>
      </c>
      <c r="D1670" s="62" t="s">
        <v>13</v>
      </c>
      <c r="E1670" s="64">
        <v>0.98</v>
      </c>
      <c r="F1670" s="64">
        <v>14.2835</v>
      </c>
    </row>
    <row r="1671" spans="1:6" s="27" customFormat="1" ht="23.25" x14ac:dyDescent="0.4">
      <c r="A1671" s="54" t="s">
        <v>421</v>
      </c>
      <c r="B1671" s="55" t="s">
        <v>34</v>
      </c>
      <c r="C1671" s="55" t="s">
        <v>744</v>
      </c>
      <c r="D1671" s="56" t="s">
        <v>21</v>
      </c>
      <c r="E1671" s="104">
        <v>1501.2249999999999</v>
      </c>
      <c r="F1671" s="105"/>
    </row>
    <row r="1672" spans="1:6" s="27" customFormat="1" ht="23.25" x14ac:dyDescent="0.4">
      <c r="A1672" s="54" t="s">
        <v>422</v>
      </c>
      <c r="B1672" s="55" t="s">
        <v>745</v>
      </c>
      <c r="C1672" s="55" t="s">
        <v>746</v>
      </c>
      <c r="D1672" s="56" t="s">
        <v>508</v>
      </c>
      <c r="E1672" s="106">
        <v>14.574999999999999</v>
      </c>
      <c r="F1672" s="107"/>
    </row>
    <row r="1673" spans="1:6" s="27" customFormat="1" x14ac:dyDescent="0.4">
      <c r="A1673" s="57"/>
      <c r="B1673" s="58"/>
      <c r="C1673" s="59" t="s">
        <v>11</v>
      </c>
      <c r="D1673" s="58" t="s">
        <v>12</v>
      </c>
      <c r="E1673" s="60">
        <v>46.18</v>
      </c>
      <c r="F1673" s="60">
        <v>673.07349999999997</v>
      </c>
    </row>
    <row r="1674" spans="1:6" s="27" customFormat="1" x14ac:dyDescent="0.4">
      <c r="A1674" s="61"/>
      <c r="B1674" s="62"/>
      <c r="C1674" s="63" t="s">
        <v>509</v>
      </c>
      <c r="D1674" s="62" t="s">
        <v>13</v>
      </c>
      <c r="E1674" s="64">
        <v>8.0500000000000007</v>
      </c>
      <c r="F1674" s="64">
        <v>117.3287</v>
      </c>
    </row>
    <row r="1675" spans="1:6" s="27" customFormat="1" x14ac:dyDescent="0.4">
      <c r="A1675" s="65"/>
      <c r="B1675" s="66"/>
      <c r="C1675" s="67" t="s">
        <v>19</v>
      </c>
      <c r="D1675" s="66" t="s">
        <v>13</v>
      </c>
      <c r="E1675" s="68">
        <v>0.59</v>
      </c>
      <c r="F1675" s="68">
        <v>8.5991999999999997</v>
      </c>
    </row>
    <row r="1676" spans="1:6" s="27" customFormat="1" x14ac:dyDescent="0.4">
      <c r="A1676" s="69"/>
      <c r="B1676" s="70"/>
      <c r="C1676" s="71" t="s">
        <v>747</v>
      </c>
      <c r="D1676" s="70" t="s">
        <v>14</v>
      </c>
      <c r="E1676" s="72">
        <v>0.28899999999999998</v>
      </c>
      <c r="F1676" s="72">
        <v>4.2122000000000002</v>
      </c>
    </row>
    <row r="1677" spans="1:6" s="27" customFormat="1" x14ac:dyDescent="0.4">
      <c r="A1677" s="76"/>
      <c r="B1677" s="77"/>
      <c r="C1677" s="78" t="s">
        <v>748</v>
      </c>
      <c r="D1677" s="77" t="s">
        <v>14</v>
      </c>
      <c r="E1677" s="79">
        <v>5.7000000000000002E-2</v>
      </c>
      <c r="F1677" s="79">
        <v>0.83077500000000004</v>
      </c>
    </row>
    <row r="1678" spans="1:6" s="27" customFormat="1" x14ac:dyDescent="0.4">
      <c r="A1678" s="76"/>
      <c r="B1678" s="77"/>
      <c r="C1678" s="78" t="s">
        <v>749</v>
      </c>
      <c r="D1678" s="77" t="s">
        <v>14</v>
      </c>
      <c r="E1678" s="79">
        <v>9.5000000000000001E-2</v>
      </c>
      <c r="F1678" s="79">
        <v>1.3846000000000001</v>
      </c>
    </row>
    <row r="1679" spans="1:6" s="27" customFormat="1" x14ac:dyDescent="0.4">
      <c r="A1679" s="76"/>
      <c r="B1679" s="77"/>
      <c r="C1679" s="78" t="s">
        <v>750</v>
      </c>
      <c r="D1679" s="77" t="s">
        <v>21</v>
      </c>
      <c r="E1679" s="80">
        <v>116</v>
      </c>
      <c r="F1679" s="79">
        <v>1690.7</v>
      </c>
    </row>
    <row r="1680" spans="1:6" s="27" customFormat="1" x14ac:dyDescent="0.4">
      <c r="A1680" s="51"/>
      <c r="B1680" s="52"/>
      <c r="C1680" s="110" t="s">
        <v>958</v>
      </c>
      <c r="D1680" s="110"/>
      <c r="E1680" s="52"/>
      <c r="F1680" s="53"/>
    </row>
    <row r="1681" spans="1:6" s="27" customFormat="1" ht="23.25" x14ac:dyDescent="0.4">
      <c r="A1681" s="54" t="s">
        <v>423</v>
      </c>
      <c r="B1681" s="55" t="s">
        <v>973</v>
      </c>
      <c r="C1681" s="55" t="s">
        <v>974</v>
      </c>
      <c r="D1681" s="56" t="s">
        <v>508</v>
      </c>
      <c r="E1681" s="106">
        <v>0.47599999999999998</v>
      </c>
      <c r="F1681" s="107"/>
    </row>
    <row r="1682" spans="1:6" s="27" customFormat="1" x14ac:dyDescent="0.4">
      <c r="A1682" s="57"/>
      <c r="B1682" s="58"/>
      <c r="C1682" s="59" t="s">
        <v>11</v>
      </c>
      <c r="D1682" s="58" t="s">
        <v>12</v>
      </c>
      <c r="E1682" s="60">
        <v>40.65</v>
      </c>
      <c r="F1682" s="60">
        <v>19.349399999999999</v>
      </c>
    </row>
    <row r="1683" spans="1:6" s="27" customFormat="1" x14ac:dyDescent="0.4">
      <c r="A1683" s="61"/>
      <c r="B1683" s="62"/>
      <c r="C1683" s="63" t="s">
        <v>601</v>
      </c>
      <c r="D1683" s="62" t="s">
        <v>13</v>
      </c>
      <c r="E1683" s="64">
        <v>4.7</v>
      </c>
      <c r="F1683" s="64">
        <v>2.2372000000000001</v>
      </c>
    </row>
    <row r="1684" spans="1:6" s="27" customFormat="1" x14ac:dyDescent="0.4">
      <c r="A1684" s="69"/>
      <c r="B1684" s="70"/>
      <c r="C1684" s="71" t="s">
        <v>142</v>
      </c>
      <c r="D1684" s="70" t="s">
        <v>23</v>
      </c>
      <c r="E1684" s="72">
        <v>2.04</v>
      </c>
      <c r="F1684" s="72">
        <v>0.97104000000000001</v>
      </c>
    </row>
    <row r="1685" spans="1:6" s="27" customFormat="1" ht="23.25" x14ac:dyDescent="0.4">
      <c r="A1685" s="54" t="s">
        <v>424</v>
      </c>
      <c r="B1685" s="55" t="s">
        <v>975</v>
      </c>
      <c r="C1685" s="55" t="s">
        <v>976</v>
      </c>
      <c r="D1685" s="56" t="s">
        <v>508</v>
      </c>
      <c r="E1685" s="106">
        <v>0.47599999999999998</v>
      </c>
      <c r="F1685" s="107"/>
    </row>
    <row r="1686" spans="1:6" s="27" customFormat="1" x14ac:dyDescent="0.4">
      <c r="A1686" s="57"/>
      <c r="B1686" s="58"/>
      <c r="C1686" s="59" t="s">
        <v>11</v>
      </c>
      <c r="D1686" s="58" t="s">
        <v>12</v>
      </c>
      <c r="E1686" s="74">
        <v>6</v>
      </c>
      <c r="F1686" s="60">
        <v>2.8559999999999999</v>
      </c>
    </row>
    <row r="1687" spans="1:6" s="27" customFormat="1" x14ac:dyDescent="0.4">
      <c r="A1687" s="61"/>
      <c r="B1687" s="62"/>
      <c r="C1687" s="63" t="s">
        <v>601</v>
      </c>
      <c r="D1687" s="62" t="s">
        <v>13</v>
      </c>
      <c r="E1687" s="64">
        <v>27.84</v>
      </c>
      <c r="F1687" s="64">
        <v>13.251799999999999</v>
      </c>
    </row>
    <row r="1688" spans="1:6" s="27" customFormat="1" x14ac:dyDescent="0.4">
      <c r="A1688" s="69"/>
      <c r="B1688" s="70"/>
      <c r="C1688" s="71" t="s">
        <v>142</v>
      </c>
      <c r="D1688" s="70" t="s">
        <v>23</v>
      </c>
      <c r="E1688" s="72">
        <v>6.12</v>
      </c>
      <c r="F1688" s="72">
        <v>2.9131</v>
      </c>
    </row>
    <row r="1689" spans="1:6" s="27" customFormat="1" ht="23.25" x14ac:dyDescent="0.4">
      <c r="A1689" s="54" t="s">
        <v>425</v>
      </c>
      <c r="B1689" s="55" t="s">
        <v>977</v>
      </c>
      <c r="C1689" s="55" t="s">
        <v>978</v>
      </c>
      <c r="D1689" s="56" t="s">
        <v>508</v>
      </c>
      <c r="E1689" s="106">
        <v>0.47599999999999998</v>
      </c>
      <c r="F1689" s="107"/>
    </row>
    <row r="1690" spans="1:6" s="27" customFormat="1" x14ac:dyDescent="0.4">
      <c r="A1690" s="57"/>
      <c r="B1690" s="58"/>
      <c r="C1690" s="59" t="s">
        <v>11</v>
      </c>
      <c r="D1690" s="58" t="s">
        <v>12</v>
      </c>
      <c r="E1690" s="60">
        <v>41.67</v>
      </c>
      <c r="F1690" s="60">
        <v>19.834900000000001</v>
      </c>
    </row>
    <row r="1691" spans="1:6" s="27" customFormat="1" x14ac:dyDescent="0.4">
      <c r="A1691" s="61"/>
      <c r="B1691" s="62"/>
      <c r="C1691" s="63" t="s">
        <v>979</v>
      </c>
      <c r="D1691" s="62" t="s">
        <v>13</v>
      </c>
      <c r="E1691" s="64">
        <v>15.16</v>
      </c>
      <c r="F1691" s="64">
        <v>7.2161999999999997</v>
      </c>
    </row>
    <row r="1692" spans="1:6" s="27" customFormat="1" x14ac:dyDescent="0.4">
      <c r="A1692" s="65"/>
      <c r="B1692" s="66"/>
      <c r="C1692" s="67" t="s">
        <v>509</v>
      </c>
      <c r="D1692" s="66" t="s">
        <v>13</v>
      </c>
      <c r="E1692" s="68">
        <v>2.34</v>
      </c>
      <c r="F1692" s="68">
        <v>1.1137999999999999</v>
      </c>
    </row>
    <row r="1693" spans="1:6" s="27" customFormat="1" x14ac:dyDescent="0.4">
      <c r="A1693" s="65"/>
      <c r="B1693" s="66"/>
      <c r="C1693" s="67" t="s">
        <v>19</v>
      </c>
      <c r="D1693" s="66" t="s">
        <v>13</v>
      </c>
      <c r="E1693" s="68">
        <v>0.9</v>
      </c>
      <c r="F1693" s="68">
        <v>0.4284</v>
      </c>
    </row>
    <row r="1694" spans="1:6" s="27" customFormat="1" x14ac:dyDescent="0.4">
      <c r="A1694" s="69"/>
      <c r="B1694" s="70"/>
      <c r="C1694" s="71" t="s">
        <v>980</v>
      </c>
      <c r="D1694" s="70" t="s">
        <v>14</v>
      </c>
      <c r="E1694" s="72">
        <v>0.25</v>
      </c>
      <c r="F1694" s="72">
        <v>0.11899999999999999</v>
      </c>
    </row>
    <row r="1695" spans="1:6" s="27" customFormat="1" x14ac:dyDescent="0.4">
      <c r="A1695" s="76"/>
      <c r="B1695" s="77"/>
      <c r="C1695" s="78" t="s">
        <v>511</v>
      </c>
      <c r="D1695" s="77" t="s">
        <v>21</v>
      </c>
      <c r="E1695" s="80">
        <v>120</v>
      </c>
      <c r="F1695" s="79">
        <v>57.12</v>
      </c>
    </row>
    <row r="1696" spans="1:6" s="27" customFormat="1" x14ac:dyDescent="0.4">
      <c r="A1696" s="76"/>
      <c r="B1696" s="77"/>
      <c r="C1696" s="78" t="s">
        <v>110</v>
      </c>
      <c r="D1696" s="77" t="s">
        <v>76</v>
      </c>
      <c r="E1696" s="80">
        <v>30</v>
      </c>
      <c r="F1696" s="79">
        <v>14.28</v>
      </c>
    </row>
    <row r="1697" spans="1:6" s="27" customFormat="1" x14ac:dyDescent="0.4">
      <c r="A1697" s="51"/>
      <c r="B1697" s="52"/>
      <c r="C1697" s="110" t="s">
        <v>940</v>
      </c>
      <c r="D1697" s="110"/>
      <c r="E1697" s="52"/>
      <c r="F1697" s="53"/>
    </row>
    <row r="1698" spans="1:6" s="27" customFormat="1" ht="23.25" x14ac:dyDescent="0.4">
      <c r="A1698" s="54" t="s">
        <v>426</v>
      </c>
      <c r="B1698" s="55" t="s">
        <v>730</v>
      </c>
      <c r="C1698" s="55" t="s">
        <v>731</v>
      </c>
      <c r="D1698" s="56" t="s">
        <v>508</v>
      </c>
      <c r="E1698" s="106">
        <v>25.628</v>
      </c>
      <c r="F1698" s="107"/>
    </row>
    <row r="1699" spans="1:6" s="27" customFormat="1" x14ac:dyDescent="0.4">
      <c r="A1699" s="57"/>
      <c r="B1699" s="58"/>
      <c r="C1699" s="59" t="s">
        <v>11</v>
      </c>
      <c r="D1699" s="58" t="s">
        <v>12</v>
      </c>
      <c r="E1699" s="60">
        <v>19.84</v>
      </c>
      <c r="F1699" s="60">
        <v>508.45949999999999</v>
      </c>
    </row>
    <row r="1700" spans="1:6" s="27" customFormat="1" x14ac:dyDescent="0.4">
      <c r="A1700" s="61"/>
      <c r="B1700" s="62"/>
      <c r="C1700" s="63" t="s">
        <v>19</v>
      </c>
      <c r="D1700" s="62" t="s">
        <v>13</v>
      </c>
      <c r="E1700" s="64">
        <v>0.27</v>
      </c>
      <c r="F1700" s="64">
        <v>6.9196</v>
      </c>
    </row>
    <row r="1701" spans="1:6" s="27" customFormat="1" x14ac:dyDescent="0.4">
      <c r="A1701" s="69"/>
      <c r="B1701" s="70"/>
      <c r="C1701" s="71" t="s">
        <v>732</v>
      </c>
      <c r="D1701" s="70" t="s">
        <v>30</v>
      </c>
      <c r="E1701" s="73">
        <v>6</v>
      </c>
      <c r="F1701" s="72">
        <v>153.768</v>
      </c>
    </row>
    <row r="1702" spans="1:6" s="27" customFormat="1" x14ac:dyDescent="0.4">
      <c r="A1702" s="76"/>
      <c r="B1702" s="77"/>
      <c r="C1702" s="78" t="s">
        <v>733</v>
      </c>
      <c r="D1702" s="77" t="s">
        <v>21</v>
      </c>
      <c r="E1702" s="80">
        <v>102</v>
      </c>
      <c r="F1702" s="79">
        <v>2614.056</v>
      </c>
    </row>
    <row r="1703" spans="1:6" s="27" customFormat="1" x14ac:dyDescent="0.4">
      <c r="A1703" s="76"/>
      <c r="B1703" s="77"/>
      <c r="C1703" s="78" t="s">
        <v>734</v>
      </c>
      <c r="D1703" s="77" t="s">
        <v>21</v>
      </c>
      <c r="E1703" s="80">
        <v>104</v>
      </c>
      <c r="F1703" s="79">
        <v>2665.3119999999999</v>
      </c>
    </row>
    <row r="1704" spans="1:6" s="27" customFormat="1" x14ac:dyDescent="0.4">
      <c r="A1704" s="54" t="s">
        <v>427</v>
      </c>
      <c r="B1704" s="55" t="s">
        <v>735</v>
      </c>
      <c r="C1704" s="55" t="s">
        <v>736</v>
      </c>
      <c r="D1704" s="56" t="s">
        <v>737</v>
      </c>
      <c r="E1704" s="106">
        <v>25.628</v>
      </c>
      <c r="F1704" s="107"/>
    </row>
    <row r="1705" spans="1:6" s="27" customFormat="1" x14ac:dyDescent="0.4">
      <c r="A1705" s="57"/>
      <c r="B1705" s="58"/>
      <c r="C1705" s="59" t="s">
        <v>11</v>
      </c>
      <c r="D1705" s="58" t="s">
        <v>12</v>
      </c>
      <c r="E1705" s="60">
        <v>9.52</v>
      </c>
      <c r="F1705" s="60">
        <v>243.9786</v>
      </c>
    </row>
    <row r="1706" spans="1:6" s="27" customFormat="1" x14ac:dyDescent="0.4">
      <c r="A1706" s="61"/>
      <c r="B1706" s="62"/>
      <c r="C1706" s="63" t="s">
        <v>25</v>
      </c>
      <c r="D1706" s="62" t="s">
        <v>13</v>
      </c>
      <c r="E1706" s="64">
        <v>5.52</v>
      </c>
      <c r="F1706" s="64">
        <v>141.4666</v>
      </c>
    </row>
    <row r="1707" spans="1:6" s="27" customFormat="1" x14ac:dyDescent="0.4">
      <c r="A1707" s="65"/>
      <c r="B1707" s="66"/>
      <c r="C1707" s="67" t="s">
        <v>19</v>
      </c>
      <c r="D1707" s="66" t="s">
        <v>13</v>
      </c>
      <c r="E1707" s="68">
        <v>0.27</v>
      </c>
      <c r="F1707" s="68">
        <v>6.9196</v>
      </c>
    </row>
    <row r="1708" spans="1:6" s="27" customFormat="1" x14ac:dyDescent="0.4">
      <c r="A1708" s="69"/>
      <c r="B1708" s="70"/>
      <c r="C1708" s="71" t="s">
        <v>699</v>
      </c>
      <c r="D1708" s="70" t="s">
        <v>14</v>
      </c>
      <c r="E1708" s="72">
        <v>0.03</v>
      </c>
      <c r="F1708" s="72">
        <v>0.76883999999999997</v>
      </c>
    </row>
    <row r="1709" spans="1:6" s="27" customFormat="1" x14ac:dyDescent="0.4">
      <c r="A1709" s="76"/>
      <c r="B1709" s="77"/>
      <c r="C1709" s="78" t="s">
        <v>738</v>
      </c>
      <c r="D1709" s="77" t="s">
        <v>76</v>
      </c>
      <c r="E1709" s="80">
        <v>900</v>
      </c>
      <c r="F1709" s="79">
        <v>23065.200000000001</v>
      </c>
    </row>
    <row r="1710" spans="1:6" s="27" customFormat="1" x14ac:dyDescent="0.4">
      <c r="A1710" s="54" t="s">
        <v>428</v>
      </c>
      <c r="B1710" s="55" t="s">
        <v>739</v>
      </c>
      <c r="C1710" s="55" t="s">
        <v>740</v>
      </c>
      <c r="D1710" s="56" t="s">
        <v>737</v>
      </c>
      <c r="E1710" s="106">
        <v>25.628</v>
      </c>
      <c r="F1710" s="107"/>
    </row>
    <row r="1711" spans="1:6" s="27" customFormat="1" x14ac:dyDescent="0.4">
      <c r="A1711" s="57"/>
      <c r="B1711" s="58"/>
      <c r="C1711" s="59" t="s">
        <v>11</v>
      </c>
      <c r="D1711" s="58" t="s">
        <v>12</v>
      </c>
      <c r="E1711" s="60">
        <v>9.5</v>
      </c>
      <c r="F1711" s="60">
        <v>243.46600000000001</v>
      </c>
    </row>
    <row r="1712" spans="1:6" s="27" customFormat="1" x14ac:dyDescent="0.4">
      <c r="A1712" s="61"/>
      <c r="B1712" s="62"/>
      <c r="C1712" s="63" t="s">
        <v>25</v>
      </c>
      <c r="D1712" s="62" t="s">
        <v>13</v>
      </c>
      <c r="E1712" s="64">
        <v>5.5</v>
      </c>
      <c r="F1712" s="64">
        <v>140.95400000000001</v>
      </c>
    </row>
    <row r="1713" spans="1:6" s="27" customFormat="1" x14ac:dyDescent="0.4">
      <c r="A1713" s="65"/>
      <c r="B1713" s="66"/>
      <c r="C1713" s="67" t="s">
        <v>19</v>
      </c>
      <c r="D1713" s="66" t="s">
        <v>13</v>
      </c>
      <c r="E1713" s="68">
        <v>0.25</v>
      </c>
      <c r="F1713" s="68">
        <v>6.407</v>
      </c>
    </row>
    <row r="1714" spans="1:6" s="27" customFormat="1" x14ac:dyDescent="0.4">
      <c r="A1714" s="69"/>
      <c r="B1714" s="70"/>
      <c r="C1714" s="71" t="s">
        <v>738</v>
      </c>
      <c r="D1714" s="70" t="s">
        <v>76</v>
      </c>
      <c r="E1714" s="73">
        <v>900</v>
      </c>
      <c r="F1714" s="72">
        <v>23065.200000000001</v>
      </c>
    </row>
    <row r="1715" spans="1:6" s="27" customFormat="1" ht="23.25" x14ac:dyDescent="0.4">
      <c r="A1715" s="54" t="s">
        <v>429</v>
      </c>
      <c r="B1715" s="55" t="s">
        <v>718</v>
      </c>
      <c r="C1715" s="55" t="s">
        <v>719</v>
      </c>
      <c r="D1715" s="56" t="s">
        <v>508</v>
      </c>
      <c r="E1715" s="106">
        <v>25.628</v>
      </c>
      <c r="F1715" s="107"/>
    </row>
    <row r="1716" spans="1:6" s="27" customFormat="1" x14ac:dyDescent="0.4">
      <c r="A1716" s="57"/>
      <c r="B1716" s="58"/>
      <c r="C1716" s="59" t="s">
        <v>11</v>
      </c>
      <c r="D1716" s="58" t="s">
        <v>12</v>
      </c>
      <c r="E1716" s="60">
        <v>39.51</v>
      </c>
      <c r="F1716" s="60">
        <v>1012.5623000000001</v>
      </c>
    </row>
    <row r="1717" spans="1:6" s="27" customFormat="1" x14ac:dyDescent="0.4">
      <c r="A1717" s="61"/>
      <c r="B1717" s="62"/>
      <c r="C1717" s="63" t="s">
        <v>601</v>
      </c>
      <c r="D1717" s="62" t="s">
        <v>13</v>
      </c>
      <c r="E1717" s="64">
        <v>9.07</v>
      </c>
      <c r="F1717" s="64">
        <v>232.446</v>
      </c>
    </row>
    <row r="1718" spans="1:6" s="27" customFormat="1" x14ac:dyDescent="0.4">
      <c r="A1718" s="69"/>
      <c r="B1718" s="70"/>
      <c r="C1718" s="71" t="s">
        <v>720</v>
      </c>
      <c r="D1718" s="70" t="s">
        <v>23</v>
      </c>
      <c r="E1718" s="72">
        <v>2.04</v>
      </c>
      <c r="F1718" s="72">
        <v>52.281100000000002</v>
      </c>
    </row>
    <row r="1719" spans="1:6" s="27" customFormat="1" ht="23.25" x14ac:dyDescent="0.4">
      <c r="A1719" s="54" t="s">
        <v>430</v>
      </c>
      <c r="B1719" s="55" t="s">
        <v>729</v>
      </c>
      <c r="C1719" s="55" t="s">
        <v>721</v>
      </c>
      <c r="D1719" s="56" t="s">
        <v>508</v>
      </c>
      <c r="E1719" s="106">
        <v>25.628</v>
      </c>
      <c r="F1719" s="107"/>
    </row>
    <row r="1720" spans="1:6" s="27" customFormat="1" x14ac:dyDescent="0.4">
      <c r="A1720" s="57"/>
      <c r="B1720" s="58"/>
      <c r="C1720" s="59" t="s">
        <v>11</v>
      </c>
      <c r="D1720" s="58" t="s">
        <v>12</v>
      </c>
      <c r="E1720" s="74">
        <v>1</v>
      </c>
      <c r="F1720" s="60">
        <v>25.628</v>
      </c>
    </row>
    <row r="1721" spans="1:6" s="27" customFormat="1" x14ac:dyDescent="0.4">
      <c r="A1721" s="61"/>
      <c r="B1721" s="62"/>
      <c r="C1721" s="63" t="s">
        <v>601</v>
      </c>
      <c r="D1721" s="62" t="s">
        <v>13</v>
      </c>
      <c r="E1721" s="64">
        <v>4.6399999999999997</v>
      </c>
      <c r="F1721" s="64">
        <v>118.9139</v>
      </c>
    </row>
    <row r="1722" spans="1:6" s="27" customFormat="1" x14ac:dyDescent="0.4">
      <c r="A1722" s="69"/>
      <c r="B1722" s="70"/>
      <c r="C1722" s="71" t="s">
        <v>720</v>
      </c>
      <c r="D1722" s="70" t="s">
        <v>23</v>
      </c>
      <c r="E1722" s="72">
        <v>1.02</v>
      </c>
      <c r="F1722" s="72">
        <v>26.140599999999999</v>
      </c>
    </row>
    <row r="1723" spans="1:6" s="27" customFormat="1" x14ac:dyDescent="0.4">
      <c r="A1723" s="54" t="s">
        <v>431</v>
      </c>
      <c r="B1723" s="55" t="s">
        <v>34</v>
      </c>
      <c r="C1723" s="55" t="s">
        <v>741</v>
      </c>
      <c r="D1723" s="56" t="s">
        <v>21</v>
      </c>
      <c r="E1723" s="104">
        <v>2562.8000000000002</v>
      </c>
      <c r="F1723" s="105"/>
    </row>
    <row r="1724" spans="1:6" s="27" customFormat="1" ht="58.15" x14ac:dyDescent="0.4">
      <c r="A1724" s="54" t="s">
        <v>432</v>
      </c>
      <c r="B1724" s="55" t="s">
        <v>722</v>
      </c>
      <c r="C1724" s="55" t="s">
        <v>723</v>
      </c>
      <c r="D1724" s="56" t="s">
        <v>724</v>
      </c>
      <c r="E1724" s="106">
        <v>25.628</v>
      </c>
      <c r="F1724" s="107"/>
    </row>
    <row r="1725" spans="1:6" s="27" customFormat="1" x14ac:dyDescent="0.4">
      <c r="A1725" s="57"/>
      <c r="B1725" s="58"/>
      <c r="C1725" s="59" t="s">
        <v>11</v>
      </c>
      <c r="D1725" s="58" t="s">
        <v>12</v>
      </c>
      <c r="E1725" s="60">
        <v>14.36</v>
      </c>
      <c r="F1725" s="60">
        <v>368.0181</v>
      </c>
    </row>
    <row r="1726" spans="1:6" s="27" customFormat="1" x14ac:dyDescent="0.4">
      <c r="A1726" s="61"/>
      <c r="B1726" s="62"/>
      <c r="C1726" s="63" t="s">
        <v>19</v>
      </c>
      <c r="D1726" s="62" t="s">
        <v>13</v>
      </c>
      <c r="E1726" s="64">
        <v>0.25</v>
      </c>
      <c r="F1726" s="64">
        <v>6.407</v>
      </c>
    </row>
    <row r="1727" spans="1:6" s="27" customFormat="1" x14ac:dyDescent="0.4">
      <c r="A1727" s="69"/>
      <c r="B1727" s="70"/>
      <c r="C1727" s="71" t="s">
        <v>725</v>
      </c>
      <c r="D1727" s="70" t="s">
        <v>21</v>
      </c>
      <c r="E1727" s="73">
        <v>115</v>
      </c>
      <c r="F1727" s="72">
        <v>2947.22</v>
      </c>
    </row>
    <row r="1728" spans="1:6" s="27" customFormat="1" ht="23.25" x14ac:dyDescent="0.4">
      <c r="A1728" s="54" t="s">
        <v>433</v>
      </c>
      <c r="B1728" s="55" t="s">
        <v>742</v>
      </c>
      <c r="C1728" s="55" t="s">
        <v>743</v>
      </c>
      <c r="D1728" s="56" t="s">
        <v>508</v>
      </c>
      <c r="E1728" s="106">
        <v>25.628</v>
      </c>
      <c r="F1728" s="107"/>
    </row>
    <row r="1729" spans="1:6" s="27" customFormat="1" x14ac:dyDescent="0.4">
      <c r="A1729" s="57"/>
      <c r="B1729" s="58"/>
      <c r="C1729" s="59" t="s">
        <v>11</v>
      </c>
      <c r="D1729" s="58" t="s">
        <v>12</v>
      </c>
      <c r="E1729" s="60">
        <v>28.38</v>
      </c>
      <c r="F1729" s="60">
        <v>727.32259999999997</v>
      </c>
    </row>
    <row r="1730" spans="1:6" s="27" customFormat="1" x14ac:dyDescent="0.4">
      <c r="A1730" s="61"/>
      <c r="B1730" s="62"/>
      <c r="C1730" s="63" t="s">
        <v>19</v>
      </c>
      <c r="D1730" s="62" t="s">
        <v>13</v>
      </c>
      <c r="E1730" s="64">
        <v>0.98</v>
      </c>
      <c r="F1730" s="64">
        <v>25.115400000000001</v>
      </c>
    </row>
    <row r="1731" spans="1:6" s="27" customFormat="1" ht="23.25" x14ac:dyDescent="0.4">
      <c r="A1731" s="54" t="s">
        <v>434</v>
      </c>
      <c r="B1731" s="55" t="s">
        <v>34</v>
      </c>
      <c r="C1731" s="55" t="s">
        <v>744</v>
      </c>
      <c r="D1731" s="56" t="s">
        <v>21</v>
      </c>
      <c r="E1731" s="104">
        <v>2639.6840000000002</v>
      </c>
      <c r="F1731" s="105"/>
    </row>
    <row r="1732" spans="1:6" s="27" customFormat="1" ht="23.25" x14ac:dyDescent="0.4">
      <c r="A1732" s="54" t="s">
        <v>435</v>
      </c>
      <c r="B1732" s="55" t="s">
        <v>745</v>
      </c>
      <c r="C1732" s="55" t="s">
        <v>746</v>
      </c>
      <c r="D1732" s="56" t="s">
        <v>508</v>
      </c>
      <c r="E1732" s="106">
        <v>25.628</v>
      </c>
      <c r="F1732" s="107"/>
    </row>
    <row r="1733" spans="1:6" s="27" customFormat="1" x14ac:dyDescent="0.4">
      <c r="A1733" s="57"/>
      <c r="B1733" s="58"/>
      <c r="C1733" s="59" t="s">
        <v>11</v>
      </c>
      <c r="D1733" s="58" t="s">
        <v>12</v>
      </c>
      <c r="E1733" s="60">
        <v>46.18</v>
      </c>
      <c r="F1733" s="60">
        <v>1183.501</v>
      </c>
    </row>
    <row r="1734" spans="1:6" s="27" customFormat="1" x14ac:dyDescent="0.4">
      <c r="A1734" s="61"/>
      <c r="B1734" s="62"/>
      <c r="C1734" s="63" t="s">
        <v>509</v>
      </c>
      <c r="D1734" s="62" t="s">
        <v>13</v>
      </c>
      <c r="E1734" s="64">
        <v>8.0500000000000007</v>
      </c>
      <c r="F1734" s="64">
        <v>206.30539999999999</v>
      </c>
    </row>
    <row r="1735" spans="1:6" s="27" customFormat="1" x14ac:dyDescent="0.4">
      <c r="A1735" s="65"/>
      <c r="B1735" s="66"/>
      <c r="C1735" s="67" t="s">
        <v>19</v>
      </c>
      <c r="D1735" s="66" t="s">
        <v>13</v>
      </c>
      <c r="E1735" s="68">
        <v>0.59</v>
      </c>
      <c r="F1735" s="68">
        <v>15.1205</v>
      </c>
    </row>
    <row r="1736" spans="1:6" s="27" customFormat="1" x14ac:dyDescent="0.4">
      <c r="A1736" s="69"/>
      <c r="B1736" s="70"/>
      <c r="C1736" s="71" t="s">
        <v>747</v>
      </c>
      <c r="D1736" s="70" t="s">
        <v>14</v>
      </c>
      <c r="E1736" s="72">
        <v>0.28899999999999998</v>
      </c>
      <c r="F1736" s="72">
        <v>7.4065000000000003</v>
      </c>
    </row>
    <row r="1737" spans="1:6" s="27" customFormat="1" x14ac:dyDescent="0.4">
      <c r="A1737" s="76"/>
      <c r="B1737" s="77"/>
      <c r="C1737" s="78" t="s">
        <v>748</v>
      </c>
      <c r="D1737" s="77" t="s">
        <v>14</v>
      </c>
      <c r="E1737" s="79">
        <v>5.7000000000000002E-2</v>
      </c>
      <c r="F1737" s="79">
        <v>1.4608000000000001</v>
      </c>
    </row>
    <row r="1738" spans="1:6" s="27" customFormat="1" x14ac:dyDescent="0.4">
      <c r="A1738" s="76"/>
      <c r="B1738" s="77"/>
      <c r="C1738" s="78" t="s">
        <v>749</v>
      </c>
      <c r="D1738" s="77" t="s">
        <v>14</v>
      </c>
      <c r="E1738" s="79">
        <v>9.5000000000000001E-2</v>
      </c>
      <c r="F1738" s="79">
        <v>2.4346999999999999</v>
      </c>
    </row>
    <row r="1739" spans="1:6" s="27" customFormat="1" x14ac:dyDescent="0.4">
      <c r="A1739" s="76"/>
      <c r="B1739" s="77"/>
      <c r="C1739" s="78" t="s">
        <v>750</v>
      </c>
      <c r="D1739" s="77" t="s">
        <v>21</v>
      </c>
      <c r="E1739" s="80">
        <v>116</v>
      </c>
      <c r="F1739" s="79">
        <v>2972.848</v>
      </c>
    </row>
    <row r="1740" spans="1:6" s="27" customFormat="1" x14ac:dyDescent="0.4">
      <c r="A1740" s="51"/>
      <c r="B1740" s="52"/>
      <c r="C1740" s="110" t="s">
        <v>962</v>
      </c>
      <c r="D1740" s="110"/>
      <c r="E1740" s="52"/>
      <c r="F1740" s="53"/>
    </row>
    <row r="1741" spans="1:6" s="27" customFormat="1" ht="34.9" x14ac:dyDescent="0.4">
      <c r="A1741" s="54" t="s">
        <v>436</v>
      </c>
      <c r="B1741" s="55" t="s">
        <v>751</v>
      </c>
      <c r="C1741" s="55" t="s">
        <v>752</v>
      </c>
      <c r="D1741" s="56" t="s">
        <v>572</v>
      </c>
      <c r="E1741" s="106">
        <v>2.2160000000000002</v>
      </c>
      <c r="F1741" s="107"/>
    </row>
    <row r="1742" spans="1:6" s="27" customFormat="1" x14ac:dyDescent="0.4">
      <c r="A1742" s="57"/>
      <c r="B1742" s="58"/>
      <c r="C1742" s="59" t="s">
        <v>11</v>
      </c>
      <c r="D1742" s="58" t="s">
        <v>12</v>
      </c>
      <c r="E1742" s="60">
        <v>119.78</v>
      </c>
      <c r="F1742" s="60">
        <v>265.4325</v>
      </c>
    </row>
    <row r="1743" spans="1:6" s="27" customFormat="1" x14ac:dyDescent="0.4">
      <c r="A1743" s="61"/>
      <c r="B1743" s="62"/>
      <c r="C1743" s="63" t="s">
        <v>19</v>
      </c>
      <c r="D1743" s="62" t="s">
        <v>13</v>
      </c>
      <c r="E1743" s="64">
        <v>0.28000000000000003</v>
      </c>
      <c r="F1743" s="64">
        <v>0.62048000000000003</v>
      </c>
    </row>
    <row r="1744" spans="1:6" s="27" customFormat="1" x14ac:dyDescent="0.4">
      <c r="A1744" s="65"/>
      <c r="B1744" s="66"/>
      <c r="C1744" s="67" t="s">
        <v>712</v>
      </c>
      <c r="D1744" s="66" t="s">
        <v>13</v>
      </c>
      <c r="E1744" s="68">
        <v>1.56</v>
      </c>
      <c r="F1744" s="68">
        <v>3.4569999999999999</v>
      </c>
    </row>
    <row r="1745" spans="1:6" s="27" customFormat="1" ht="23.25" x14ac:dyDescent="0.4">
      <c r="A1745" s="69"/>
      <c r="B1745" s="70"/>
      <c r="C1745" s="71" t="s">
        <v>753</v>
      </c>
      <c r="D1745" s="70" t="s">
        <v>21</v>
      </c>
      <c r="E1745" s="73">
        <v>102</v>
      </c>
      <c r="F1745" s="72">
        <v>226.03200000000001</v>
      </c>
    </row>
    <row r="1746" spans="1:6" s="27" customFormat="1" x14ac:dyDescent="0.4">
      <c r="A1746" s="76"/>
      <c r="B1746" s="77"/>
      <c r="C1746" s="78" t="s">
        <v>754</v>
      </c>
      <c r="D1746" s="77" t="s">
        <v>76</v>
      </c>
      <c r="E1746" s="80">
        <v>450</v>
      </c>
      <c r="F1746" s="79">
        <v>997.2</v>
      </c>
    </row>
    <row r="1747" spans="1:6" s="27" customFormat="1" x14ac:dyDescent="0.4">
      <c r="A1747" s="76"/>
      <c r="B1747" s="77"/>
      <c r="C1747" s="78" t="s">
        <v>755</v>
      </c>
      <c r="D1747" s="77" t="s">
        <v>14</v>
      </c>
      <c r="E1747" s="79">
        <v>0.05</v>
      </c>
      <c r="F1747" s="79">
        <v>0.1108</v>
      </c>
    </row>
    <row r="1748" spans="1:6" s="27" customFormat="1" ht="23.25" x14ac:dyDescent="0.4">
      <c r="A1748" s="54" t="s">
        <v>437</v>
      </c>
      <c r="B1748" s="55" t="s">
        <v>718</v>
      </c>
      <c r="C1748" s="55" t="s">
        <v>719</v>
      </c>
      <c r="D1748" s="56" t="s">
        <v>508</v>
      </c>
      <c r="E1748" s="106">
        <v>2.2160000000000002</v>
      </c>
      <c r="F1748" s="107"/>
    </row>
    <row r="1749" spans="1:6" s="27" customFormat="1" x14ac:dyDescent="0.4">
      <c r="A1749" s="57"/>
      <c r="B1749" s="58"/>
      <c r="C1749" s="59" t="s">
        <v>11</v>
      </c>
      <c r="D1749" s="58" t="s">
        <v>12</v>
      </c>
      <c r="E1749" s="60">
        <v>39.51</v>
      </c>
      <c r="F1749" s="60">
        <v>87.554199999999994</v>
      </c>
    </row>
    <row r="1750" spans="1:6" s="27" customFormat="1" x14ac:dyDescent="0.4">
      <c r="A1750" s="61"/>
      <c r="B1750" s="62"/>
      <c r="C1750" s="63" t="s">
        <v>601</v>
      </c>
      <c r="D1750" s="62" t="s">
        <v>13</v>
      </c>
      <c r="E1750" s="64">
        <v>9.07</v>
      </c>
      <c r="F1750" s="64">
        <v>20.0991</v>
      </c>
    </row>
    <row r="1751" spans="1:6" s="27" customFormat="1" x14ac:dyDescent="0.4">
      <c r="A1751" s="69"/>
      <c r="B1751" s="70"/>
      <c r="C1751" s="71" t="s">
        <v>720</v>
      </c>
      <c r="D1751" s="70" t="s">
        <v>23</v>
      </c>
      <c r="E1751" s="72">
        <v>2.04</v>
      </c>
      <c r="F1751" s="72">
        <v>4.5206</v>
      </c>
    </row>
    <row r="1752" spans="1:6" s="27" customFormat="1" ht="23.25" x14ac:dyDescent="0.4">
      <c r="A1752" s="54" t="s">
        <v>438</v>
      </c>
      <c r="B1752" s="55" t="s">
        <v>729</v>
      </c>
      <c r="C1752" s="55" t="s">
        <v>721</v>
      </c>
      <c r="D1752" s="56" t="s">
        <v>508</v>
      </c>
      <c r="E1752" s="106">
        <v>2.2160000000000002</v>
      </c>
      <c r="F1752" s="107"/>
    </row>
    <row r="1753" spans="1:6" s="27" customFormat="1" x14ac:dyDescent="0.4">
      <c r="A1753" s="57"/>
      <c r="B1753" s="58"/>
      <c r="C1753" s="59" t="s">
        <v>11</v>
      </c>
      <c r="D1753" s="58" t="s">
        <v>12</v>
      </c>
      <c r="E1753" s="74">
        <v>1</v>
      </c>
      <c r="F1753" s="60">
        <v>2.2160000000000002</v>
      </c>
    </row>
    <row r="1754" spans="1:6" s="27" customFormat="1" x14ac:dyDescent="0.4">
      <c r="A1754" s="61"/>
      <c r="B1754" s="62"/>
      <c r="C1754" s="63" t="s">
        <v>601</v>
      </c>
      <c r="D1754" s="62" t="s">
        <v>13</v>
      </c>
      <c r="E1754" s="64">
        <v>4.6399999999999997</v>
      </c>
      <c r="F1754" s="64">
        <v>10.2822</v>
      </c>
    </row>
    <row r="1755" spans="1:6" s="27" customFormat="1" x14ac:dyDescent="0.4">
      <c r="A1755" s="69"/>
      <c r="B1755" s="70"/>
      <c r="C1755" s="71" t="s">
        <v>720</v>
      </c>
      <c r="D1755" s="70" t="s">
        <v>23</v>
      </c>
      <c r="E1755" s="72">
        <v>1.02</v>
      </c>
      <c r="F1755" s="72">
        <v>2.2603</v>
      </c>
    </row>
    <row r="1756" spans="1:6" s="27" customFormat="1" x14ac:dyDescent="0.4">
      <c r="A1756" s="54" t="s">
        <v>439</v>
      </c>
      <c r="B1756" s="55" t="s">
        <v>34</v>
      </c>
      <c r="C1756" s="55" t="s">
        <v>741</v>
      </c>
      <c r="D1756" s="56" t="s">
        <v>21</v>
      </c>
      <c r="E1756" s="104">
        <v>221.6</v>
      </c>
      <c r="F1756" s="105"/>
    </row>
    <row r="1757" spans="1:6" s="27" customFormat="1" ht="58.15" x14ac:dyDescent="0.4">
      <c r="A1757" s="54" t="s">
        <v>440</v>
      </c>
      <c r="B1757" s="55" t="s">
        <v>722</v>
      </c>
      <c r="C1757" s="55" t="s">
        <v>723</v>
      </c>
      <c r="D1757" s="56" t="s">
        <v>724</v>
      </c>
      <c r="E1757" s="106">
        <v>2.2160000000000002</v>
      </c>
      <c r="F1757" s="107"/>
    </row>
    <row r="1758" spans="1:6" s="27" customFormat="1" x14ac:dyDescent="0.4">
      <c r="A1758" s="57"/>
      <c r="B1758" s="58"/>
      <c r="C1758" s="59" t="s">
        <v>11</v>
      </c>
      <c r="D1758" s="58" t="s">
        <v>12</v>
      </c>
      <c r="E1758" s="60">
        <v>14.36</v>
      </c>
      <c r="F1758" s="60">
        <v>31.8218</v>
      </c>
    </row>
    <row r="1759" spans="1:6" s="27" customFormat="1" x14ac:dyDescent="0.4">
      <c r="A1759" s="61"/>
      <c r="B1759" s="62"/>
      <c r="C1759" s="63" t="s">
        <v>19</v>
      </c>
      <c r="D1759" s="62" t="s">
        <v>13</v>
      </c>
      <c r="E1759" s="64">
        <v>0.25</v>
      </c>
      <c r="F1759" s="64">
        <v>0.55400000000000005</v>
      </c>
    </row>
    <row r="1760" spans="1:6" s="27" customFormat="1" x14ac:dyDescent="0.4">
      <c r="A1760" s="69"/>
      <c r="B1760" s="70"/>
      <c r="C1760" s="71" t="s">
        <v>725</v>
      </c>
      <c r="D1760" s="70" t="s">
        <v>21</v>
      </c>
      <c r="E1760" s="73">
        <v>115</v>
      </c>
      <c r="F1760" s="72">
        <v>254.84</v>
      </c>
    </row>
    <row r="1761" spans="1:6" s="27" customFormat="1" ht="23.25" x14ac:dyDescent="0.4">
      <c r="A1761" s="54" t="s">
        <v>441</v>
      </c>
      <c r="B1761" s="55" t="s">
        <v>742</v>
      </c>
      <c r="C1761" s="55" t="s">
        <v>743</v>
      </c>
      <c r="D1761" s="56" t="s">
        <v>508</v>
      </c>
      <c r="E1761" s="106">
        <v>2.2160000000000002</v>
      </c>
      <c r="F1761" s="107"/>
    </row>
    <row r="1762" spans="1:6" s="27" customFormat="1" x14ac:dyDescent="0.4">
      <c r="A1762" s="57"/>
      <c r="B1762" s="58"/>
      <c r="C1762" s="59" t="s">
        <v>11</v>
      </c>
      <c r="D1762" s="58" t="s">
        <v>12</v>
      </c>
      <c r="E1762" s="60">
        <v>28.38</v>
      </c>
      <c r="F1762" s="60">
        <v>62.890099999999997</v>
      </c>
    </row>
    <row r="1763" spans="1:6" s="27" customFormat="1" x14ac:dyDescent="0.4">
      <c r="A1763" s="61"/>
      <c r="B1763" s="62"/>
      <c r="C1763" s="63" t="s">
        <v>19</v>
      </c>
      <c r="D1763" s="62" t="s">
        <v>13</v>
      </c>
      <c r="E1763" s="64">
        <v>0.98</v>
      </c>
      <c r="F1763" s="64">
        <v>2.1717</v>
      </c>
    </row>
    <row r="1764" spans="1:6" s="27" customFormat="1" ht="23.25" x14ac:dyDescent="0.4">
      <c r="A1764" s="54" t="s">
        <v>442</v>
      </c>
      <c r="B1764" s="55" t="s">
        <v>34</v>
      </c>
      <c r="C1764" s="55" t="s">
        <v>744</v>
      </c>
      <c r="D1764" s="56" t="s">
        <v>21</v>
      </c>
      <c r="E1764" s="104">
        <v>228.24799999999999</v>
      </c>
      <c r="F1764" s="105"/>
    </row>
    <row r="1765" spans="1:6" s="27" customFormat="1" ht="23.25" x14ac:dyDescent="0.4">
      <c r="A1765" s="54" t="s">
        <v>443</v>
      </c>
      <c r="B1765" s="55" t="s">
        <v>745</v>
      </c>
      <c r="C1765" s="55" t="s">
        <v>746</v>
      </c>
      <c r="D1765" s="56" t="s">
        <v>508</v>
      </c>
      <c r="E1765" s="106">
        <v>2.2160000000000002</v>
      </c>
      <c r="F1765" s="107"/>
    </row>
    <row r="1766" spans="1:6" s="27" customFormat="1" x14ac:dyDescent="0.4">
      <c r="A1766" s="57"/>
      <c r="B1766" s="58"/>
      <c r="C1766" s="59" t="s">
        <v>11</v>
      </c>
      <c r="D1766" s="58" t="s">
        <v>12</v>
      </c>
      <c r="E1766" s="60">
        <v>46.18</v>
      </c>
      <c r="F1766" s="60">
        <v>102.3349</v>
      </c>
    </row>
    <row r="1767" spans="1:6" s="27" customFormat="1" x14ac:dyDescent="0.4">
      <c r="A1767" s="61"/>
      <c r="B1767" s="62"/>
      <c r="C1767" s="63" t="s">
        <v>509</v>
      </c>
      <c r="D1767" s="62" t="s">
        <v>13</v>
      </c>
      <c r="E1767" s="64">
        <v>8.0500000000000007</v>
      </c>
      <c r="F1767" s="64">
        <v>17.838799999999999</v>
      </c>
    </row>
    <row r="1768" spans="1:6" s="27" customFormat="1" x14ac:dyDescent="0.4">
      <c r="A1768" s="65"/>
      <c r="B1768" s="66"/>
      <c r="C1768" s="67" t="s">
        <v>19</v>
      </c>
      <c r="D1768" s="66" t="s">
        <v>13</v>
      </c>
      <c r="E1768" s="68">
        <v>0.59</v>
      </c>
      <c r="F1768" s="68">
        <v>1.3073999999999999</v>
      </c>
    </row>
    <row r="1769" spans="1:6" s="27" customFormat="1" x14ac:dyDescent="0.4">
      <c r="A1769" s="69"/>
      <c r="B1769" s="70"/>
      <c r="C1769" s="71" t="s">
        <v>747</v>
      </c>
      <c r="D1769" s="70" t="s">
        <v>14</v>
      </c>
      <c r="E1769" s="72">
        <v>0.28899999999999998</v>
      </c>
      <c r="F1769" s="72">
        <v>0.64042399999999999</v>
      </c>
    </row>
    <row r="1770" spans="1:6" s="27" customFormat="1" x14ac:dyDescent="0.4">
      <c r="A1770" s="76"/>
      <c r="B1770" s="77"/>
      <c r="C1770" s="78" t="s">
        <v>748</v>
      </c>
      <c r="D1770" s="77" t="s">
        <v>14</v>
      </c>
      <c r="E1770" s="79">
        <v>5.7000000000000002E-2</v>
      </c>
      <c r="F1770" s="79">
        <v>0.12631200000000001</v>
      </c>
    </row>
    <row r="1771" spans="1:6" s="27" customFormat="1" x14ac:dyDescent="0.4">
      <c r="A1771" s="76"/>
      <c r="B1771" s="77"/>
      <c r="C1771" s="78" t="s">
        <v>749</v>
      </c>
      <c r="D1771" s="77" t="s">
        <v>14</v>
      </c>
      <c r="E1771" s="79">
        <v>9.5000000000000001E-2</v>
      </c>
      <c r="F1771" s="79">
        <v>0.21052000000000001</v>
      </c>
    </row>
    <row r="1772" spans="1:6" s="27" customFormat="1" x14ac:dyDescent="0.4">
      <c r="A1772" s="76"/>
      <c r="B1772" s="77"/>
      <c r="C1772" s="78" t="s">
        <v>750</v>
      </c>
      <c r="D1772" s="77" t="s">
        <v>21</v>
      </c>
      <c r="E1772" s="80">
        <v>116</v>
      </c>
      <c r="F1772" s="79">
        <v>257.05599999999998</v>
      </c>
    </row>
    <row r="1773" spans="1:6" s="27" customFormat="1" x14ac:dyDescent="0.4">
      <c r="A1773" s="51"/>
      <c r="B1773" s="52"/>
      <c r="C1773" s="110" t="s">
        <v>964</v>
      </c>
      <c r="D1773" s="110"/>
      <c r="E1773" s="52"/>
      <c r="F1773" s="53"/>
    </row>
    <row r="1774" spans="1:6" s="27" customFormat="1" ht="34.9" x14ac:dyDescent="0.4">
      <c r="A1774" s="54" t="s">
        <v>444</v>
      </c>
      <c r="B1774" s="55" t="s">
        <v>751</v>
      </c>
      <c r="C1774" s="55" t="s">
        <v>752</v>
      </c>
      <c r="D1774" s="56" t="s">
        <v>572</v>
      </c>
      <c r="E1774" s="106">
        <v>6.1719999999999997</v>
      </c>
      <c r="F1774" s="107"/>
    </row>
    <row r="1775" spans="1:6" s="27" customFormat="1" x14ac:dyDescent="0.4">
      <c r="A1775" s="57"/>
      <c r="B1775" s="58"/>
      <c r="C1775" s="59" t="s">
        <v>11</v>
      </c>
      <c r="D1775" s="58" t="s">
        <v>12</v>
      </c>
      <c r="E1775" s="60">
        <v>119.78</v>
      </c>
      <c r="F1775" s="60">
        <v>739.28219999999999</v>
      </c>
    </row>
    <row r="1776" spans="1:6" s="27" customFormat="1" x14ac:dyDescent="0.4">
      <c r="A1776" s="61"/>
      <c r="B1776" s="62"/>
      <c r="C1776" s="63" t="s">
        <v>19</v>
      </c>
      <c r="D1776" s="62" t="s">
        <v>13</v>
      </c>
      <c r="E1776" s="64">
        <v>0.28000000000000003</v>
      </c>
      <c r="F1776" s="64">
        <v>1.7282</v>
      </c>
    </row>
    <row r="1777" spans="1:6" s="27" customFormat="1" x14ac:dyDescent="0.4">
      <c r="A1777" s="65"/>
      <c r="B1777" s="66"/>
      <c r="C1777" s="67" t="s">
        <v>712</v>
      </c>
      <c r="D1777" s="66" t="s">
        <v>13</v>
      </c>
      <c r="E1777" s="68">
        <v>1.56</v>
      </c>
      <c r="F1777" s="68">
        <v>9.6282999999999994</v>
      </c>
    </row>
    <row r="1778" spans="1:6" s="27" customFormat="1" ht="23.25" x14ac:dyDescent="0.4">
      <c r="A1778" s="69"/>
      <c r="B1778" s="70"/>
      <c r="C1778" s="71" t="s">
        <v>753</v>
      </c>
      <c r="D1778" s="70" t="s">
        <v>21</v>
      </c>
      <c r="E1778" s="73">
        <v>102</v>
      </c>
      <c r="F1778" s="72">
        <v>629.54399999999998</v>
      </c>
    </row>
    <row r="1779" spans="1:6" s="27" customFormat="1" x14ac:dyDescent="0.4">
      <c r="A1779" s="76"/>
      <c r="B1779" s="77"/>
      <c r="C1779" s="78" t="s">
        <v>754</v>
      </c>
      <c r="D1779" s="77" t="s">
        <v>76</v>
      </c>
      <c r="E1779" s="80">
        <v>450</v>
      </c>
      <c r="F1779" s="79">
        <v>2777.4</v>
      </c>
    </row>
    <row r="1780" spans="1:6" s="27" customFormat="1" x14ac:dyDescent="0.4">
      <c r="A1780" s="76"/>
      <c r="B1780" s="77"/>
      <c r="C1780" s="78" t="s">
        <v>755</v>
      </c>
      <c r="D1780" s="77" t="s">
        <v>14</v>
      </c>
      <c r="E1780" s="79">
        <v>0.05</v>
      </c>
      <c r="F1780" s="79">
        <v>0.30859999999999999</v>
      </c>
    </row>
    <row r="1781" spans="1:6" s="27" customFormat="1" ht="23.25" x14ac:dyDescent="0.4">
      <c r="A1781" s="54" t="s">
        <v>445</v>
      </c>
      <c r="B1781" s="55" t="s">
        <v>718</v>
      </c>
      <c r="C1781" s="55" t="s">
        <v>719</v>
      </c>
      <c r="D1781" s="56" t="s">
        <v>508</v>
      </c>
      <c r="E1781" s="106">
        <v>6.1719999999999997</v>
      </c>
      <c r="F1781" s="107"/>
    </row>
    <row r="1782" spans="1:6" s="27" customFormat="1" x14ac:dyDescent="0.4">
      <c r="A1782" s="57"/>
      <c r="B1782" s="58"/>
      <c r="C1782" s="59" t="s">
        <v>11</v>
      </c>
      <c r="D1782" s="58" t="s">
        <v>12</v>
      </c>
      <c r="E1782" s="60">
        <v>39.51</v>
      </c>
      <c r="F1782" s="60">
        <v>243.85570000000001</v>
      </c>
    </row>
    <row r="1783" spans="1:6" s="27" customFormat="1" x14ac:dyDescent="0.4">
      <c r="A1783" s="61"/>
      <c r="B1783" s="62"/>
      <c r="C1783" s="63" t="s">
        <v>601</v>
      </c>
      <c r="D1783" s="62" t="s">
        <v>13</v>
      </c>
      <c r="E1783" s="64">
        <v>9.07</v>
      </c>
      <c r="F1783" s="64">
        <v>55.98</v>
      </c>
    </row>
    <row r="1784" spans="1:6" s="27" customFormat="1" x14ac:dyDescent="0.4">
      <c r="A1784" s="69"/>
      <c r="B1784" s="70"/>
      <c r="C1784" s="71" t="s">
        <v>720</v>
      </c>
      <c r="D1784" s="70" t="s">
        <v>23</v>
      </c>
      <c r="E1784" s="72">
        <v>2.04</v>
      </c>
      <c r="F1784" s="72">
        <v>12.5909</v>
      </c>
    </row>
    <row r="1785" spans="1:6" s="27" customFormat="1" ht="23.25" x14ac:dyDescent="0.4">
      <c r="A1785" s="54" t="s">
        <v>446</v>
      </c>
      <c r="B1785" s="55" t="s">
        <v>729</v>
      </c>
      <c r="C1785" s="55" t="s">
        <v>721</v>
      </c>
      <c r="D1785" s="56" t="s">
        <v>508</v>
      </c>
      <c r="E1785" s="106">
        <v>6.1719999999999997</v>
      </c>
      <c r="F1785" s="107"/>
    </row>
    <row r="1786" spans="1:6" s="27" customFormat="1" x14ac:dyDescent="0.4">
      <c r="A1786" s="57"/>
      <c r="B1786" s="58"/>
      <c r="C1786" s="59" t="s">
        <v>11</v>
      </c>
      <c r="D1786" s="58" t="s">
        <v>12</v>
      </c>
      <c r="E1786" s="74">
        <v>1</v>
      </c>
      <c r="F1786" s="60">
        <v>6.1719999999999997</v>
      </c>
    </row>
    <row r="1787" spans="1:6" s="27" customFormat="1" x14ac:dyDescent="0.4">
      <c r="A1787" s="61"/>
      <c r="B1787" s="62"/>
      <c r="C1787" s="63" t="s">
        <v>601</v>
      </c>
      <c r="D1787" s="62" t="s">
        <v>13</v>
      </c>
      <c r="E1787" s="64">
        <v>4.6399999999999997</v>
      </c>
      <c r="F1787" s="64">
        <v>28.638100000000001</v>
      </c>
    </row>
    <row r="1788" spans="1:6" s="27" customFormat="1" x14ac:dyDescent="0.4">
      <c r="A1788" s="69"/>
      <c r="B1788" s="70"/>
      <c r="C1788" s="71" t="s">
        <v>720</v>
      </c>
      <c r="D1788" s="70" t="s">
        <v>23</v>
      </c>
      <c r="E1788" s="72">
        <v>1.02</v>
      </c>
      <c r="F1788" s="72">
        <v>6.2953999999999999</v>
      </c>
    </row>
    <row r="1789" spans="1:6" s="27" customFormat="1" x14ac:dyDescent="0.4">
      <c r="A1789" s="54" t="s">
        <v>447</v>
      </c>
      <c r="B1789" s="55" t="s">
        <v>34</v>
      </c>
      <c r="C1789" s="55" t="s">
        <v>741</v>
      </c>
      <c r="D1789" s="56" t="s">
        <v>21</v>
      </c>
      <c r="E1789" s="104">
        <v>617.20000000000005</v>
      </c>
      <c r="F1789" s="105"/>
    </row>
    <row r="1790" spans="1:6" s="27" customFormat="1" ht="58.15" x14ac:dyDescent="0.4">
      <c r="A1790" s="54" t="s">
        <v>448</v>
      </c>
      <c r="B1790" s="55" t="s">
        <v>722</v>
      </c>
      <c r="C1790" s="55" t="s">
        <v>723</v>
      </c>
      <c r="D1790" s="56" t="s">
        <v>724</v>
      </c>
      <c r="E1790" s="106">
        <v>6.1719999999999997</v>
      </c>
      <c r="F1790" s="107"/>
    </row>
    <row r="1791" spans="1:6" s="27" customFormat="1" x14ac:dyDescent="0.4">
      <c r="A1791" s="57"/>
      <c r="B1791" s="58"/>
      <c r="C1791" s="59" t="s">
        <v>11</v>
      </c>
      <c r="D1791" s="58" t="s">
        <v>12</v>
      </c>
      <c r="E1791" s="60">
        <v>14.36</v>
      </c>
      <c r="F1791" s="60">
        <v>88.629900000000006</v>
      </c>
    </row>
    <row r="1792" spans="1:6" s="27" customFormat="1" x14ac:dyDescent="0.4">
      <c r="A1792" s="61"/>
      <c r="B1792" s="62"/>
      <c r="C1792" s="63" t="s">
        <v>19</v>
      </c>
      <c r="D1792" s="62" t="s">
        <v>13</v>
      </c>
      <c r="E1792" s="64">
        <v>0.25</v>
      </c>
      <c r="F1792" s="64">
        <v>1.5429999999999999</v>
      </c>
    </row>
    <row r="1793" spans="1:6" s="27" customFormat="1" x14ac:dyDescent="0.4">
      <c r="A1793" s="69"/>
      <c r="B1793" s="70"/>
      <c r="C1793" s="71" t="s">
        <v>725</v>
      </c>
      <c r="D1793" s="70" t="s">
        <v>21</v>
      </c>
      <c r="E1793" s="73">
        <v>115</v>
      </c>
      <c r="F1793" s="72">
        <v>709.78</v>
      </c>
    </row>
    <row r="1794" spans="1:6" s="27" customFormat="1" ht="23.25" x14ac:dyDescent="0.4">
      <c r="A1794" s="54" t="s">
        <v>449</v>
      </c>
      <c r="B1794" s="55" t="s">
        <v>742</v>
      </c>
      <c r="C1794" s="55" t="s">
        <v>743</v>
      </c>
      <c r="D1794" s="56" t="s">
        <v>508</v>
      </c>
      <c r="E1794" s="106">
        <v>6.1719999999999997</v>
      </c>
      <c r="F1794" s="107"/>
    </row>
    <row r="1795" spans="1:6" s="27" customFormat="1" x14ac:dyDescent="0.4">
      <c r="A1795" s="57"/>
      <c r="B1795" s="58"/>
      <c r="C1795" s="59" t="s">
        <v>11</v>
      </c>
      <c r="D1795" s="58" t="s">
        <v>12</v>
      </c>
      <c r="E1795" s="60">
        <v>28.38</v>
      </c>
      <c r="F1795" s="60">
        <v>175.16139999999999</v>
      </c>
    </row>
    <row r="1796" spans="1:6" s="27" customFormat="1" x14ac:dyDescent="0.4">
      <c r="A1796" s="61"/>
      <c r="B1796" s="62"/>
      <c r="C1796" s="63" t="s">
        <v>19</v>
      </c>
      <c r="D1796" s="62" t="s">
        <v>13</v>
      </c>
      <c r="E1796" s="64">
        <v>0.98</v>
      </c>
      <c r="F1796" s="64">
        <v>6.0486000000000004</v>
      </c>
    </row>
    <row r="1797" spans="1:6" s="27" customFormat="1" ht="23.25" x14ac:dyDescent="0.4">
      <c r="A1797" s="54" t="s">
        <v>450</v>
      </c>
      <c r="B1797" s="55" t="s">
        <v>34</v>
      </c>
      <c r="C1797" s="55" t="s">
        <v>744</v>
      </c>
      <c r="D1797" s="56" t="s">
        <v>21</v>
      </c>
      <c r="E1797" s="104">
        <v>635.71600000000001</v>
      </c>
      <c r="F1797" s="105"/>
    </row>
    <row r="1798" spans="1:6" s="27" customFormat="1" ht="23.25" x14ac:dyDescent="0.4">
      <c r="A1798" s="54" t="s">
        <v>454</v>
      </c>
      <c r="B1798" s="55" t="s">
        <v>745</v>
      </c>
      <c r="C1798" s="55" t="s">
        <v>746</v>
      </c>
      <c r="D1798" s="56" t="s">
        <v>508</v>
      </c>
      <c r="E1798" s="106">
        <v>6.1719999999999997</v>
      </c>
      <c r="F1798" s="107"/>
    </row>
    <row r="1799" spans="1:6" s="27" customFormat="1" x14ac:dyDescent="0.4">
      <c r="A1799" s="57"/>
      <c r="B1799" s="58"/>
      <c r="C1799" s="59" t="s">
        <v>11</v>
      </c>
      <c r="D1799" s="58" t="s">
        <v>12</v>
      </c>
      <c r="E1799" s="60">
        <v>46.18</v>
      </c>
      <c r="F1799" s="60">
        <v>285.02300000000002</v>
      </c>
    </row>
    <row r="1800" spans="1:6" s="27" customFormat="1" x14ac:dyDescent="0.4">
      <c r="A1800" s="61"/>
      <c r="B1800" s="62"/>
      <c r="C1800" s="63" t="s">
        <v>509</v>
      </c>
      <c r="D1800" s="62" t="s">
        <v>13</v>
      </c>
      <c r="E1800" s="64">
        <v>8.0500000000000007</v>
      </c>
      <c r="F1800" s="64">
        <v>49.684600000000003</v>
      </c>
    </row>
    <row r="1801" spans="1:6" s="27" customFormat="1" x14ac:dyDescent="0.4">
      <c r="A1801" s="65"/>
      <c r="B1801" s="66"/>
      <c r="C1801" s="67" t="s">
        <v>19</v>
      </c>
      <c r="D1801" s="66" t="s">
        <v>13</v>
      </c>
      <c r="E1801" s="68">
        <v>0.59</v>
      </c>
      <c r="F1801" s="68">
        <v>3.6415000000000002</v>
      </c>
    </row>
    <row r="1802" spans="1:6" s="27" customFormat="1" x14ac:dyDescent="0.4">
      <c r="A1802" s="69"/>
      <c r="B1802" s="70"/>
      <c r="C1802" s="71" t="s">
        <v>747</v>
      </c>
      <c r="D1802" s="70" t="s">
        <v>14</v>
      </c>
      <c r="E1802" s="72">
        <v>0.28899999999999998</v>
      </c>
      <c r="F1802" s="72">
        <v>1.7837000000000001</v>
      </c>
    </row>
    <row r="1803" spans="1:6" s="27" customFormat="1" x14ac:dyDescent="0.4">
      <c r="A1803" s="76"/>
      <c r="B1803" s="77"/>
      <c r="C1803" s="78" t="s">
        <v>748</v>
      </c>
      <c r="D1803" s="77" t="s">
        <v>14</v>
      </c>
      <c r="E1803" s="79">
        <v>5.7000000000000002E-2</v>
      </c>
      <c r="F1803" s="79">
        <v>0.35180400000000001</v>
      </c>
    </row>
    <row r="1804" spans="1:6" s="27" customFormat="1" x14ac:dyDescent="0.4">
      <c r="A1804" s="76"/>
      <c r="B1804" s="77"/>
      <c r="C1804" s="78" t="s">
        <v>749</v>
      </c>
      <c r="D1804" s="77" t="s">
        <v>14</v>
      </c>
      <c r="E1804" s="79">
        <v>9.5000000000000001E-2</v>
      </c>
      <c r="F1804" s="79">
        <v>0.58633999999999997</v>
      </c>
    </row>
    <row r="1805" spans="1:6" s="27" customFormat="1" x14ac:dyDescent="0.4">
      <c r="A1805" s="76"/>
      <c r="B1805" s="77"/>
      <c r="C1805" s="78" t="s">
        <v>750</v>
      </c>
      <c r="D1805" s="77" t="s">
        <v>21</v>
      </c>
      <c r="E1805" s="80">
        <v>116</v>
      </c>
      <c r="F1805" s="79">
        <v>715.952</v>
      </c>
    </row>
    <row r="1806" spans="1:6" s="27" customFormat="1" x14ac:dyDescent="0.4">
      <c r="A1806" s="51"/>
      <c r="B1806" s="52"/>
      <c r="C1806" s="110" t="s">
        <v>965</v>
      </c>
      <c r="D1806" s="110"/>
      <c r="E1806" s="52"/>
      <c r="F1806" s="53"/>
    </row>
    <row r="1807" spans="1:6" s="27" customFormat="1" ht="34.9" x14ac:dyDescent="0.4">
      <c r="A1807" s="54" t="s">
        <v>455</v>
      </c>
      <c r="B1807" s="55" t="s">
        <v>726</v>
      </c>
      <c r="C1807" s="55" t="s">
        <v>727</v>
      </c>
      <c r="D1807" s="56" t="s">
        <v>474</v>
      </c>
      <c r="E1807" s="106">
        <v>1.5029999999999999</v>
      </c>
      <c r="F1807" s="107"/>
    </row>
    <row r="1808" spans="1:6" s="27" customFormat="1" x14ac:dyDescent="0.4">
      <c r="A1808" s="57"/>
      <c r="B1808" s="58"/>
      <c r="C1808" s="59" t="s">
        <v>11</v>
      </c>
      <c r="D1808" s="58" t="s">
        <v>12</v>
      </c>
      <c r="E1808" s="60">
        <v>241.42</v>
      </c>
      <c r="F1808" s="60">
        <v>362.85430000000002</v>
      </c>
    </row>
    <row r="1809" spans="1:6" s="27" customFormat="1" x14ac:dyDescent="0.4">
      <c r="A1809" s="61"/>
      <c r="B1809" s="62"/>
      <c r="C1809" s="63" t="s">
        <v>716</v>
      </c>
      <c r="D1809" s="62" t="s">
        <v>13</v>
      </c>
      <c r="E1809" s="64">
        <v>0.53</v>
      </c>
      <c r="F1809" s="64">
        <v>0.79659000000000002</v>
      </c>
    </row>
    <row r="1810" spans="1:6" s="27" customFormat="1" x14ac:dyDescent="0.4">
      <c r="A1810" s="65"/>
      <c r="B1810" s="66"/>
      <c r="C1810" s="67" t="s">
        <v>717</v>
      </c>
      <c r="D1810" s="66" t="s">
        <v>13</v>
      </c>
      <c r="E1810" s="68">
        <v>7.3</v>
      </c>
      <c r="F1810" s="68">
        <v>10.9719</v>
      </c>
    </row>
    <row r="1811" spans="1:6" s="27" customFormat="1" x14ac:dyDescent="0.4">
      <c r="A1811" s="65"/>
      <c r="B1811" s="66"/>
      <c r="C1811" s="67" t="s">
        <v>19</v>
      </c>
      <c r="D1811" s="66" t="s">
        <v>13</v>
      </c>
      <c r="E1811" s="68">
        <v>0.36</v>
      </c>
      <c r="F1811" s="68">
        <v>0.54108000000000001</v>
      </c>
    </row>
    <row r="1812" spans="1:6" s="27" customFormat="1" x14ac:dyDescent="0.4">
      <c r="A1812" s="69"/>
      <c r="B1812" s="70"/>
      <c r="C1812" s="71" t="s">
        <v>728</v>
      </c>
      <c r="D1812" s="70" t="s">
        <v>21</v>
      </c>
      <c r="E1812" s="73">
        <v>102</v>
      </c>
      <c r="F1812" s="72">
        <v>153.30600000000001</v>
      </c>
    </row>
    <row r="1813" spans="1:6" s="27" customFormat="1" x14ac:dyDescent="0.4">
      <c r="A1813" s="76"/>
      <c r="B1813" s="77"/>
      <c r="C1813" s="78" t="s">
        <v>699</v>
      </c>
      <c r="D1813" s="77" t="s">
        <v>14</v>
      </c>
      <c r="E1813" s="79">
        <v>1.4999999999999999E-2</v>
      </c>
      <c r="F1813" s="79">
        <v>2.2544999999999999E-2</v>
      </c>
    </row>
    <row r="1814" spans="1:6" s="27" customFormat="1" x14ac:dyDescent="0.4">
      <c r="A1814" s="76"/>
      <c r="B1814" s="77"/>
      <c r="C1814" s="78" t="s">
        <v>713</v>
      </c>
      <c r="D1814" s="77" t="s">
        <v>14</v>
      </c>
      <c r="E1814" s="79">
        <v>0.43</v>
      </c>
      <c r="F1814" s="79">
        <v>0.64629000000000003</v>
      </c>
    </row>
    <row r="1815" spans="1:6" s="27" customFormat="1" x14ac:dyDescent="0.4">
      <c r="A1815" s="76"/>
      <c r="B1815" s="77"/>
      <c r="C1815" s="78" t="s">
        <v>715</v>
      </c>
      <c r="D1815" s="77" t="s">
        <v>14</v>
      </c>
      <c r="E1815" s="79">
        <v>0.02</v>
      </c>
      <c r="F1815" s="79">
        <v>3.006E-2</v>
      </c>
    </row>
    <row r="1816" spans="1:6" s="27" customFormat="1" ht="23.25" x14ac:dyDescent="0.4">
      <c r="A1816" s="54" t="s">
        <v>456</v>
      </c>
      <c r="B1816" s="55" t="s">
        <v>718</v>
      </c>
      <c r="C1816" s="55" t="s">
        <v>719</v>
      </c>
      <c r="D1816" s="56" t="s">
        <v>508</v>
      </c>
      <c r="E1816" s="106">
        <v>1.5029999999999999</v>
      </c>
      <c r="F1816" s="107"/>
    </row>
    <row r="1817" spans="1:6" s="27" customFormat="1" x14ac:dyDescent="0.4">
      <c r="A1817" s="57"/>
      <c r="B1817" s="58"/>
      <c r="C1817" s="59" t="s">
        <v>11</v>
      </c>
      <c r="D1817" s="58" t="s">
        <v>12</v>
      </c>
      <c r="E1817" s="60">
        <v>39.51</v>
      </c>
      <c r="F1817" s="60">
        <v>59.383499999999998</v>
      </c>
    </row>
    <row r="1818" spans="1:6" s="27" customFormat="1" x14ac:dyDescent="0.4">
      <c r="A1818" s="61"/>
      <c r="B1818" s="62"/>
      <c r="C1818" s="63" t="s">
        <v>601</v>
      </c>
      <c r="D1818" s="62" t="s">
        <v>13</v>
      </c>
      <c r="E1818" s="64">
        <v>9.07</v>
      </c>
      <c r="F1818" s="64">
        <v>13.632199999999999</v>
      </c>
    </row>
    <row r="1819" spans="1:6" s="27" customFormat="1" x14ac:dyDescent="0.4">
      <c r="A1819" s="69"/>
      <c r="B1819" s="70"/>
      <c r="C1819" s="71" t="s">
        <v>720</v>
      </c>
      <c r="D1819" s="70" t="s">
        <v>23</v>
      </c>
      <c r="E1819" s="72">
        <v>2.04</v>
      </c>
      <c r="F1819" s="72">
        <v>3.0661</v>
      </c>
    </row>
    <row r="1820" spans="1:6" s="27" customFormat="1" ht="23.25" x14ac:dyDescent="0.4">
      <c r="A1820" s="54" t="s">
        <v>457</v>
      </c>
      <c r="B1820" s="55" t="s">
        <v>729</v>
      </c>
      <c r="C1820" s="55" t="s">
        <v>721</v>
      </c>
      <c r="D1820" s="56" t="s">
        <v>508</v>
      </c>
      <c r="E1820" s="106">
        <v>1.5029999999999999</v>
      </c>
      <c r="F1820" s="107"/>
    </row>
    <row r="1821" spans="1:6" s="27" customFormat="1" x14ac:dyDescent="0.4">
      <c r="A1821" s="57"/>
      <c r="B1821" s="58"/>
      <c r="C1821" s="59" t="s">
        <v>11</v>
      </c>
      <c r="D1821" s="58" t="s">
        <v>12</v>
      </c>
      <c r="E1821" s="74">
        <v>1</v>
      </c>
      <c r="F1821" s="60">
        <v>1.5029999999999999</v>
      </c>
    </row>
    <row r="1822" spans="1:6" s="27" customFormat="1" x14ac:dyDescent="0.4">
      <c r="A1822" s="61"/>
      <c r="B1822" s="62"/>
      <c r="C1822" s="63" t="s">
        <v>601</v>
      </c>
      <c r="D1822" s="62" t="s">
        <v>13</v>
      </c>
      <c r="E1822" s="64">
        <v>4.6399999999999997</v>
      </c>
      <c r="F1822" s="64">
        <v>6.9739000000000004</v>
      </c>
    </row>
    <row r="1823" spans="1:6" s="27" customFormat="1" x14ac:dyDescent="0.4">
      <c r="A1823" s="69"/>
      <c r="B1823" s="70"/>
      <c r="C1823" s="71" t="s">
        <v>720</v>
      </c>
      <c r="D1823" s="70" t="s">
        <v>23</v>
      </c>
      <c r="E1823" s="72">
        <v>1.02</v>
      </c>
      <c r="F1823" s="72">
        <v>1.5330999999999999</v>
      </c>
    </row>
    <row r="1824" spans="1:6" s="27" customFormat="1" ht="58.15" x14ac:dyDescent="0.4">
      <c r="A1824" s="54" t="s">
        <v>458</v>
      </c>
      <c r="B1824" s="55" t="s">
        <v>722</v>
      </c>
      <c r="C1824" s="55" t="s">
        <v>723</v>
      </c>
      <c r="D1824" s="56" t="s">
        <v>724</v>
      </c>
      <c r="E1824" s="106">
        <v>1.5029999999999999</v>
      </c>
      <c r="F1824" s="107"/>
    </row>
    <row r="1825" spans="1:6" s="27" customFormat="1" x14ac:dyDescent="0.4">
      <c r="A1825" s="57"/>
      <c r="B1825" s="58"/>
      <c r="C1825" s="59" t="s">
        <v>11</v>
      </c>
      <c r="D1825" s="58" t="s">
        <v>12</v>
      </c>
      <c r="E1825" s="60">
        <v>14.36</v>
      </c>
      <c r="F1825" s="60">
        <v>21.583100000000002</v>
      </c>
    </row>
    <row r="1826" spans="1:6" s="27" customFormat="1" x14ac:dyDescent="0.4">
      <c r="A1826" s="61"/>
      <c r="B1826" s="62"/>
      <c r="C1826" s="63" t="s">
        <v>19</v>
      </c>
      <c r="D1826" s="62" t="s">
        <v>13</v>
      </c>
      <c r="E1826" s="64">
        <v>0.25</v>
      </c>
      <c r="F1826" s="64">
        <v>0.37574999999999997</v>
      </c>
    </row>
    <row r="1827" spans="1:6" s="27" customFormat="1" x14ac:dyDescent="0.4">
      <c r="A1827" s="69"/>
      <c r="B1827" s="70"/>
      <c r="C1827" s="71" t="s">
        <v>725</v>
      </c>
      <c r="D1827" s="70" t="s">
        <v>21</v>
      </c>
      <c r="E1827" s="73">
        <v>115</v>
      </c>
      <c r="F1827" s="72">
        <v>172.845</v>
      </c>
    </row>
    <row r="1828" spans="1:6" s="27" customFormat="1" x14ac:dyDescent="0.4">
      <c r="A1828" s="51"/>
      <c r="B1828" s="52"/>
      <c r="C1828" s="110" t="s">
        <v>756</v>
      </c>
      <c r="D1828" s="110"/>
      <c r="E1828" s="52"/>
      <c r="F1828" s="53"/>
    </row>
    <row r="1829" spans="1:6" s="27" customFormat="1" ht="58.15" x14ac:dyDescent="0.4">
      <c r="A1829" s="54" t="s">
        <v>459</v>
      </c>
      <c r="B1829" s="55" t="s">
        <v>767</v>
      </c>
      <c r="C1829" s="55" t="s">
        <v>768</v>
      </c>
      <c r="D1829" s="56" t="s">
        <v>572</v>
      </c>
      <c r="E1829" s="106">
        <v>0.14299999999999999</v>
      </c>
      <c r="F1829" s="107"/>
    </row>
    <row r="1830" spans="1:6" s="27" customFormat="1" x14ac:dyDescent="0.4">
      <c r="A1830" s="57"/>
      <c r="B1830" s="58"/>
      <c r="C1830" s="59" t="s">
        <v>11</v>
      </c>
      <c r="D1830" s="58" t="s">
        <v>12</v>
      </c>
      <c r="E1830" s="60">
        <v>226.88</v>
      </c>
      <c r="F1830" s="60">
        <v>32.443800000000003</v>
      </c>
    </row>
    <row r="1831" spans="1:6" s="27" customFormat="1" x14ac:dyDescent="0.4">
      <c r="A1831" s="61"/>
      <c r="B1831" s="62"/>
      <c r="C1831" s="63" t="s">
        <v>678</v>
      </c>
      <c r="D1831" s="62" t="s">
        <v>13</v>
      </c>
      <c r="E1831" s="64">
        <v>22.89</v>
      </c>
      <c r="F1831" s="64">
        <v>3.2732999999999999</v>
      </c>
    </row>
    <row r="1832" spans="1:6" s="27" customFormat="1" x14ac:dyDescent="0.4">
      <c r="A1832" s="65"/>
      <c r="B1832" s="66"/>
      <c r="C1832" s="67" t="s">
        <v>19</v>
      </c>
      <c r="D1832" s="66" t="s">
        <v>13</v>
      </c>
      <c r="E1832" s="68">
        <v>3.57</v>
      </c>
      <c r="F1832" s="68">
        <v>0.51051000000000002</v>
      </c>
    </row>
    <row r="1833" spans="1:6" s="27" customFormat="1" x14ac:dyDescent="0.4">
      <c r="A1833" s="65"/>
      <c r="B1833" s="66"/>
      <c r="C1833" s="67" t="s">
        <v>73</v>
      </c>
      <c r="D1833" s="66" t="s">
        <v>13</v>
      </c>
      <c r="E1833" s="68">
        <v>35.270000000000003</v>
      </c>
      <c r="F1833" s="68">
        <v>5.0435999999999996</v>
      </c>
    </row>
    <row r="1834" spans="1:6" s="27" customFormat="1" x14ac:dyDescent="0.4">
      <c r="A1834" s="69"/>
      <c r="B1834" s="70"/>
      <c r="C1834" s="71" t="s">
        <v>769</v>
      </c>
      <c r="D1834" s="70" t="s">
        <v>31</v>
      </c>
      <c r="E1834" s="73">
        <v>429</v>
      </c>
      <c r="F1834" s="72">
        <v>61.347000000000001</v>
      </c>
    </row>
    <row r="1835" spans="1:6" s="27" customFormat="1" x14ac:dyDescent="0.4">
      <c r="A1835" s="76"/>
      <c r="B1835" s="77"/>
      <c r="C1835" s="78" t="s">
        <v>770</v>
      </c>
      <c r="D1835" s="77" t="s">
        <v>21</v>
      </c>
      <c r="E1835" s="80">
        <v>100</v>
      </c>
      <c r="F1835" s="79">
        <v>14.3</v>
      </c>
    </row>
    <row r="1836" spans="1:6" s="27" customFormat="1" x14ac:dyDescent="0.4">
      <c r="A1836" s="76"/>
      <c r="B1836" s="77"/>
      <c r="C1836" s="78" t="s">
        <v>771</v>
      </c>
      <c r="D1836" s="77" t="s">
        <v>30</v>
      </c>
      <c r="E1836" s="80">
        <v>600</v>
      </c>
      <c r="F1836" s="79">
        <v>85.8</v>
      </c>
    </row>
    <row r="1837" spans="1:6" s="27" customFormat="1" x14ac:dyDescent="0.4">
      <c r="A1837" s="76"/>
      <c r="B1837" s="77"/>
      <c r="C1837" s="78" t="s">
        <v>772</v>
      </c>
      <c r="D1837" s="77" t="s">
        <v>76</v>
      </c>
      <c r="E1837" s="79">
        <v>2.2000000000000002</v>
      </c>
      <c r="F1837" s="79">
        <v>0.31459999999999999</v>
      </c>
    </row>
    <row r="1838" spans="1:6" s="27" customFormat="1" x14ac:dyDescent="0.4">
      <c r="A1838" s="76"/>
      <c r="B1838" s="77"/>
      <c r="C1838" s="78" t="s">
        <v>732</v>
      </c>
      <c r="D1838" s="77" t="s">
        <v>30</v>
      </c>
      <c r="E1838" s="80">
        <v>400</v>
      </c>
      <c r="F1838" s="79">
        <v>57.2</v>
      </c>
    </row>
    <row r="1839" spans="1:6" s="27" customFormat="1" ht="58.15" x14ac:dyDescent="0.4">
      <c r="A1839" s="54" t="s">
        <v>460</v>
      </c>
      <c r="B1839" s="55" t="s">
        <v>773</v>
      </c>
      <c r="C1839" s="55" t="s">
        <v>774</v>
      </c>
      <c r="D1839" s="56" t="s">
        <v>572</v>
      </c>
      <c r="E1839" s="106">
        <v>4.4329999999999998</v>
      </c>
      <c r="F1839" s="107"/>
    </row>
    <row r="1840" spans="1:6" s="27" customFormat="1" x14ac:dyDescent="0.4">
      <c r="A1840" s="57"/>
      <c r="B1840" s="58"/>
      <c r="C1840" s="59" t="s">
        <v>11</v>
      </c>
      <c r="D1840" s="58" t="s">
        <v>12</v>
      </c>
      <c r="E1840" s="60">
        <v>169.4</v>
      </c>
      <c r="F1840" s="60">
        <v>750.9502</v>
      </c>
    </row>
    <row r="1841" spans="1:6" s="27" customFormat="1" x14ac:dyDescent="0.4">
      <c r="A1841" s="61"/>
      <c r="B1841" s="62"/>
      <c r="C1841" s="63" t="s">
        <v>678</v>
      </c>
      <c r="D1841" s="62" t="s">
        <v>13</v>
      </c>
      <c r="E1841" s="64">
        <v>15.26</v>
      </c>
      <c r="F1841" s="64">
        <v>67.647599999999997</v>
      </c>
    </row>
    <row r="1842" spans="1:6" s="27" customFormat="1" x14ac:dyDescent="0.4">
      <c r="A1842" s="65"/>
      <c r="B1842" s="66"/>
      <c r="C1842" s="67" t="s">
        <v>19</v>
      </c>
      <c r="D1842" s="66" t="s">
        <v>13</v>
      </c>
      <c r="E1842" s="68">
        <v>3.57</v>
      </c>
      <c r="F1842" s="68">
        <v>15.825799999999999</v>
      </c>
    </row>
    <row r="1843" spans="1:6" s="27" customFormat="1" x14ac:dyDescent="0.4">
      <c r="A1843" s="65"/>
      <c r="B1843" s="66"/>
      <c r="C1843" s="67" t="s">
        <v>73</v>
      </c>
      <c r="D1843" s="66" t="s">
        <v>13</v>
      </c>
      <c r="E1843" s="68">
        <v>23.51</v>
      </c>
      <c r="F1843" s="68">
        <v>104.21980000000001</v>
      </c>
    </row>
    <row r="1844" spans="1:6" s="27" customFormat="1" x14ac:dyDescent="0.4">
      <c r="A1844" s="69"/>
      <c r="B1844" s="70"/>
      <c r="C1844" s="71" t="s">
        <v>769</v>
      </c>
      <c r="D1844" s="70" t="s">
        <v>31</v>
      </c>
      <c r="E1844" s="73">
        <v>323</v>
      </c>
      <c r="F1844" s="72">
        <v>1431.8589999999999</v>
      </c>
    </row>
    <row r="1845" spans="1:6" s="27" customFormat="1" x14ac:dyDescent="0.4">
      <c r="A1845" s="76"/>
      <c r="B1845" s="77"/>
      <c r="C1845" s="78" t="s">
        <v>770</v>
      </c>
      <c r="D1845" s="77" t="s">
        <v>21</v>
      </c>
      <c r="E1845" s="80">
        <v>100</v>
      </c>
      <c r="F1845" s="79">
        <v>443.3</v>
      </c>
    </row>
    <row r="1846" spans="1:6" s="27" customFormat="1" x14ac:dyDescent="0.4">
      <c r="A1846" s="76"/>
      <c r="B1846" s="77"/>
      <c r="C1846" s="78" t="s">
        <v>771</v>
      </c>
      <c r="D1846" s="77" t="s">
        <v>30</v>
      </c>
      <c r="E1846" s="80">
        <v>533</v>
      </c>
      <c r="F1846" s="79">
        <v>2362.7890000000002</v>
      </c>
    </row>
    <row r="1847" spans="1:6" s="27" customFormat="1" x14ac:dyDescent="0.4">
      <c r="A1847" s="76"/>
      <c r="B1847" s="77"/>
      <c r="C1847" s="78" t="s">
        <v>772</v>
      </c>
      <c r="D1847" s="77" t="s">
        <v>76</v>
      </c>
      <c r="E1847" s="79">
        <v>1.92</v>
      </c>
      <c r="F1847" s="79">
        <v>8.5114000000000001</v>
      </c>
    </row>
    <row r="1848" spans="1:6" s="27" customFormat="1" x14ac:dyDescent="0.4">
      <c r="A1848" s="76"/>
      <c r="B1848" s="77"/>
      <c r="C1848" s="78" t="s">
        <v>732</v>
      </c>
      <c r="D1848" s="77" t="s">
        <v>30</v>
      </c>
      <c r="E1848" s="80">
        <v>400</v>
      </c>
      <c r="F1848" s="79">
        <v>1773.2</v>
      </c>
    </row>
    <row r="1849" spans="1:6" s="27" customFormat="1" ht="23.25" x14ac:dyDescent="0.4">
      <c r="A1849" s="54" t="s">
        <v>461</v>
      </c>
      <c r="B1849" s="55" t="s">
        <v>775</v>
      </c>
      <c r="C1849" s="55" t="s">
        <v>776</v>
      </c>
      <c r="D1849" s="56" t="s">
        <v>572</v>
      </c>
      <c r="E1849" s="106">
        <v>1.02</v>
      </c>
      <c r="F1849" s="107"/>
    </row>
    <row r="1850" spans="1:6" s="27" customFormat="1" x14ac:dyDescent="0.4">
      <c r="A1850" s="57"/>
      <c r="B1850" s="58"/>
      <c r="C1850" s="59" t="s">
        <v>11</v>
      </c>
      <c r="D1850" s="58" t="s">
        <v>12</v>
      </c>
      <c r="E1850" s="60">
        <v>220.04</v>
      </c>
      <c r="F1850" s="60">
        <v>224.4408</v>
      </c>
    </row>
    <row r="1851" spans="1:6" s="27" customFormat="1" x14ac:dyDescent="0.4">
      <c r="A1851" s="61"/>
      <c r="B1851" s="62"/>
      <c r="C1851" s="63" t="s">
        <v>678</v>
      </c>
      <c r="D1851" s="62" t="s">
        <v>13</v>
      </c>
      <c r="E1851" s="64">
        <v>20.91</v>
      </c>
      <c r="F1851" s="64">
        <v>21.328199999999999</v>
      </c>
    </row>
    <row r="1852" spans="1:6" s="27" customFormat="1" x14ac:dyDescent="0.4">
      <c r="A1852" s="65"/>
      <c r="B1852" s="66"/>
      <c r="C1852" s="67" t="s">
        <v>19</v>
      </c>
      <c r="D1852" s="66" t="s">
        <v>13</v>
      </c>
      <c r="E1852" s="68">
        <v>3.57</v>
      </c>
      <c r="F1852" s="68">
        <v>3.6414</v>
      </c>
    </row>
    <row r="1853" spans="1:6" s="27" customFormat="1" x14ac:dyDescent="0.4">
      <c r="A1853" s="65"/>
      <c r="B1853" s="66"/>
      <c r="C1853" s="67" t="s">
        <v>73</v>
      </c>
      <c r="D1853" s="66" t="s">
        <v>13</v>
      </c>
      <c r="E1853" s="68">
        <v>32.21</v>
      </c>
      <c r="F1853" s="68">
        <v>32.854199999999999</v>
      </c>
    </row>
    <row r="1854" spans="1:6" s="27" customFormat="1" x14ac:dyDescent="0.4">
      <c r="A1854" s="69"/>
      <c r="B1854" s="70"/>
      <c r="C1854" s="71" t="s">
        <v>777</v>
      </c>
      <c r="D1854" s="70" t="s">
        <v>30</v>
      </c>
      <c r="E1854" s="73">
        <v>800</v>
      </c>
      <c r="F1854" s="73">
        <v>816</v>
      </c>
    </row>
    <row r="1855" spans="1:6" s="27" customFormat="1" x14ac:dyDescent="0.4">
      <c r="A1855" s="76"/>
      <c r="B1855" s="77"/>
      <c r="C1855" s="78" t="s">
        <v>769</v>
      </c>
      <c r="D1855" s="77" t="s">
        <v>31</v>
      </c>
      <c r="E1855" s="80">
        <v>402</v>
      </c>
      <c r="F1855" s="79">
        <v>410.04</v>
      </c>
    </row>
    <row r="1856" spans="1:6" s="27" customFormat="1" x14ac:dyDescent="0.4">
      <c r="A1856" s="76"/>
      <c r="B1856" s="77"/>
      <c r="C1856" s="78" t="s">
        <v>778</v>
      </c>
      <c r="D1856" s="77" t="s">
        <v>31</v>
      </c>
      <c r="E1856" s="80">
        <v>43</v>
      </c>
      <c r="F1856" s="79">
        <v>43.86</v>
      </c>
    </row>
    <row r="1857" spans="1:6" s="27" customFormat="1" x14ac:dyDescent="0.4">
      <c r="A1857" s="76"/>
      <c r="B1857" s="77"/>
      <c r="C1857" s="78" t="s">
        <v>779</v>
      </c>
      <c r="D1857" s="77" t="s">
        <v>31</v>
      </c>
      <c r="E1857" s="80">
        <v>293</v>
      </c>
      <c r="F1857" s="79">
        <v>298.86</v>
      </c>
    </row>
    <row r="1858" spans="1:6" s="27" customFormat="1" x14ac:dyDescent="0.4">
      <c r="A1858" s="76"/>
      <c r="B1858" s="77"/>
      <c r="C1858" s="78" t="s">
        <v>780</v>
      </c>
      <c r="D1858" s="77" t="s">
        <v>21</v>
      </c>
      <c r="E1858" s="80">
        <v>100</v>
      </c>
      <c r="F1858" s="80">
        <v>102</v>
      </c>
    </row>
    <row r="1859" spans="1:6" s="27" customFormat="1" x14ac:dyDescent="0.4">
      <c r="A1859" s="76"/>
      <c r="B1859" s="77"/>
      <c r="C1859" s="78" t="s">
        <v>781</v>
      </c>
      <c r="D1859" s="77" t="s">
        <v>370</v>
      </c>
      <c r="E1859" s="79">
        <v>65.2</v>
      </c>
      <c r="F1859" s="79">
        <v>66.504000000000005</v>
      </c>
    </row>
    <row r="1860" spans="1:6" s="27" customFormat="1" ht="23.25" x14ac:dyDescent="0.4">
      <c r="A1860" s="76"/>
      <c r="B1860" s="77"/>
      <c r="C1860" s="78" t="s">
        <v>759</v>
      </c>
      <c r="D1860" s="77" t="s">
        <v>30</v>
      </c>
      <c r="E1860" s="79">
        <v>123.5</v>
      </c>
      <c r="F1860" s="79">
        <v>125.97</v>
      </c>
    </row>
    <row r="1861" spans="1:6" s="27" customFormat="1" ht="23.25" x14ac:dyDescent="0.4">
      <c r="A1861" s="54" t="s">
        <v>462</v>
      </c>
      <c r="B1861" s="55" t="s">
        <v>757</v>
      </c>
      <c r="C1861" s="55" t="s">
        <v>758</v>
      </c>
      <c r="D1861" s="56" t="s">
        <v>21</v>
      </c>
      <c r="E1861" s="106">
        <v>3.6</v>
      </c>
      <c r="F1861" s="107"/>
    </row>
    <row r="1862" spans="1:6" s="27" customFormat="1" x14ac:dyDescent="0.4">
      <c r="A1862" s="57"/>
      <c r="B1862" s="58"/>
      <c r="C1862" s="59" t="s">
        <v>11</v>
      </c>
      <c r="D1862" s="58" t="s">
        <v>12</v>
      </c>
      <c r="E1862" s="60">
        <v>4.12</v>
      </c>
      <c r="F1862" s="60">
        <v>14.832000000000001</v>
      </c>
    </row>
    <row r="1863" spans="1:6" s="27" customFormat="1" x14ac:dyDescent="0.4">
      <c r="A1863" s="61"/>
      <c r="B1863" s="62"/>
      <c r="C1863" s="63" t="s">
        <v>233</v>
      </c>
      <c r="D1863" s="62" t="s">
        <v>13</v>
      </c>
      <c r="E1863" s="64">
        <v>0.13</v>
      </c>
      <c r="F1863" s="64">
        <v>0.46800000000000003</v>
      </c>
    </row>
    <row r="1864" spans="1:6" s="27" customFormat="1" x14ac:dyDescent="0.4">
      <c r="A1864" s="65"/>
      <c r="B1864" s="66"/>
      <c r="C1864" s="67" t="s">
        <v>107</v>
      </c>
      <c r="D1864" s="66" t="s">
        <v>13</v>
      </c>
      <c r="E1864" s="68">
        <v>0.32</v>
      </c>
      <c r="F1864" s="68">
        <v>1.1519999999999999</v>
      </c>
    </row>
    <row r="1865" spans="1:6" s="27" customFormat="1" x14ac:dyDescent="0.4">
      <c r="A1865" s="65"/>
      <c r="B1865" s="66"/>
      <c r="C1865" s="67" t="s">
        <v>19</v>
      </c>
      <c r="D1865" s="66" t="s">
        <v>13</v>
      </c>
      <c r="E1865" s="68">
        <v>0.2</v>
      </c>
      <c r="F1865" s="68">
        <v>0.72</v>
      </c>
    </row>
    <row r="1866" spans="1:6" s="27" customFormat="1" x14ac:dyDescent="0.4">
      <c r="A1866" s="65"/>
      <c r="B1866" s="66"/>
      <c r="C1866" s="67" t="s">
        <v>473</v>
      </c>
      <c r="D1866" s="66" t="s">
        <v>13</v>
      </c>
      <c r="E1866" s="68">
        <v>0.28999999999999998</v>
      </c>
      <c r="F1866" s="68">
        <v>1.044</v>
      </c>
    </row>
    <row r="1867" spans="1:6" s="27" customFormat="1" x14ac:dyDescent="0.4">
      <c r="A1867" s="69"/>
      <c r="B1867" s="70"/>
      <c r="C1867" s="71" t="s">
        <v>606</v>
      </c>
      <c r="D1867" s="70" t="s">
        <v>14</v>
      </c>
      <c r="E1867" s="72">
        <v>1.1999999999999999E-3</v>
      </c>
      <c r="F1867" s="72">
        <v>4.3200000000000001E-3</v>
      </c>
    </row>
    <row r="1868" spans="1:6" s="27" customFormat="1" x14ac:dyDescent="0.4">
      <c r="A1868" s="76"/>
      <c r="B1868" s="77"/>
      <c r="C1868" s="78" t="s">
        <v>590</v>
      </c>
      <c r="D1868" s="77" t="s">
        <v>14</v>
      </c>
      <c r="E1868" s="79">
        <v>3.7000000000000002E-3</v>
      </c>
      <c r="F1868" s="79">
        <v>1.332E-2</v>
      </c>
    </row>
    <row r="1869" spans="1:6" s="27" customFormat="1" ht="23.25" x14ac:dyDescent="0.4">
      <c r="A1869" s="76"/>
      <c r="B1869" s="77"/>
      <c r="C1869" s="78" t="s">
        <v>759</v>
      </c>
      <c r="D1869" s="77" t="s">
        <v>30</v>
      </c>
      <c r="E1869" s="79">
        <v>0.15</v>
      </c>
      <c r="F1869" s="79">
        <v>0.54</v>
      </c>
    </row>
    <row r="1870" spans="1:6" s="27" customFormat="1" x14ac:dyDescent="0.4">
      <c r="A1870" s="76"/>
      <c r="B1870" s="77"/>
      <c r="C1870" s="78" t="s">
        <v>760</v>
      </c>
      <c r="D1870" s="77" t="s">
        <v>21</v>
      </c>
      <c r="E1870" s="80">
        <v>1</v>
      </c>
      <c r="F1870" s="79">
        <v>3.6</v>
      </c>
    </row>
    <row r="1871" spans="1:6" s="27" customFormat="1" ht="23.25" x14ac:dyDescent="0.4">
      <c r="A1871" s="54" t="s">
        <v>463</v>
      </c>
      <c r="B1871" s="55" t="s">
        <v>761</v>
      </c>
      <c r="C1871" s="55" t="s">
        <v>762</v>
      </c>
      <c r="D1871" s="56" t="s">
        <v>21</v>
      </c>
      <c r="E1871" s="106">
        <v>166.3</v>
      </c>
      <c r="F1871" s="107"/>
    </row>
    <row r="1872" spans="1:6" s="27" customFormat="1" x14ac:dyDescent="0.4">
      <c r="A1872" s="57"/>
      <c r="B1872" s="58"/>
      <c r="C1872" s="59" t="s">
        <v>11</v>
      </c>
      <c r="D1872" s="58" t="s">
        <v>12</v>
      </c>
      <c r="E1872" s="60">
        <v>4.47</v>
      </c>
      <c r="F1872" s="60">
        <v>743.36099999999999</v>
      </c>
    </row>
    <row r="1873" spans="1:6" s="27" customFormat="1" x14ac:dyDescent="0.4">
      <c r="A1873" s="61"/>
      <c r="B1873" s="62"/>
      <c r="C1873" s="63" t="s">
        <v>233</v>
      </c>
      <c r="D1873" s="62" t="s">
        <v>13</v>
      </c>
      <c r="E1873" s="64">
        <v>0.12</v>
      </c>
      <c r="F1873" s="64">
        <v>19.956</v>
      </c>
    </row>
    <row r="1874" spans="1:6" s="27" customFormat="1" x14ac:dyDescent="0.4">
      <c r="A1874" s="65"/>
      <c r="B1874" s="66"/>
      <c r="C1874" s="67" t="s">
        <v>107</v>
      </c>
      <c r="D1874" s="66" t="s">
        <v>13</v>
      </c>
      <c r="E1874" s="68">
        <v>0.28999999999999998</v>
      </c>
      <c r="F1874" s="68">
        <v>48.226999999999997</v>
      </c>
    </row>
    <row r="1875" spans="1:6" s="27" customFormat="1" x14ac:dyDescent="0.4">
      <c r="A1875" s="65"/>
      <c r="B1875" s="66"/>
      <c r="C1875" s="67" t="s">
        <v>19</v>
      </c>
      <c r="D1875" s="66" t="s">
        <v>13</v>
      </c>
      <c r="E1875" s="68">
        <v>0.15</v>
      </c>
      <c r="F1875" s="68">
        <v>24.945</v>
      </c>
    </row>
    <row r="1876" spans="1:6" s="27" customFormat="1" x14ac:dyDescent="0.4">
      <c r="A1876" s="65"/>
      <c r="B1876" s="66"/>
      <c r="C1876" s="67" t="s">
        <v>473</v>
      </c>
      <c r="D1876" s="66" t="s">
        <v>13</v>
      </c>
      <c r="E1876" s="68">
        <v>0.27</v>
      </c>
      <c r="F1876" s="68">
        <v>44.901000000000003</v>
      </c>
    </row>
    <row r="1877" spans="1:6" s="27" customFormat="1" x14ac:dyDescent="0.4">
      <c r="A1877" s="69"/>
      <c r="B1877" s="70"/>
      <c r="C1877" s="71" t="s">
        <v>606</v>
      </c>
      <c r="D1877" s="70" t="s">
        <v>14</v>
      </c>
      <c r="E1877" s="72">
        <v>1E-3</v>
      </c>
      <c r="F1877" s="72">
        <v>0.1663</v>
      </c>
    </row>
    <row r="1878" spans="1:6" s="27" customFormat="1" x14ac:dyDescent="0.4">
      <c r="A1878" s="76"/>
      <c r="B1878" s="77"/>
      <c r="C1878" s="78" t="s">
        <v>590</v>
      </c>
      <c r="D1878" s="77" t="s">
        <v>14</v>
      </c>
      <c r="E1878" s="79">
        <v>2.2000000000000001E-3</v>
      </c>
      <c r="F1878" s="79">
        <v>0.36586000000000002</v>
      </c>
    </row>
    <row r="1879" spans="1:6" s="27" customFormat="1" ht="23.25" x14ac:dyDescent="0.4">
      <c r="A1879" s="76"/>
      <c r="B1879" s="77"/>
      <c r="C1879" s="78" t="s">
        <v>759</v>
      </c>
      <c r="D1879" s="77" t="s">
        <v>30</v>
      </c>
      <c r="E1879" s="79">
        <v>0.1</v>
      </c>
      <c r="F1879" s="79">
        <v>16.63</v>
      </c>
    </row>
    <row r="1880" spans="1:6" s="27" customFormat="1" x14ac:dyDescent="0.4">
      <c r="A1880" s="76"/>
      <c r="B1880" s="77"/>
      <c r="C1880" s="78" t="s">
        <v>760</v>
      </c>
      <c r="D1880" s="77" t="s">
        <v>21</v>
      </c>
      <c r="E1880" s="80">
        <v>1</v>
      </c>
      <c r="F1880" s="79">
        <v>166.3</v>
      </c>
    </row>
    <row r="1881" spans="1:6" s="27" customFormat="1" ht="23.25" x14ac:dyDescent="0.4">
      <c r="A1881" s="54" t="s">
        <v>464</v>
      </c>
      <c r="B1881" s="55" t="s">
        <v>763</v>
      </c>
      <c r="C1881" s="55" t="s">
        <v>764</v>
      </c>
      <c r="D1881" s="56" t="s">
        <v>765</v>
      </c>
      <c r="E1881" s="106">
        <v>5.2679999999999998</v>
      </c>
      <c r="F1881" s="107"/>
    </row>
    <row r="1882" spans="1:6" s="27" customFormat="1" x14ac:dyDescent="0.4">
      <c r="A1882" s="57"/>
      <c r="B1882" s="58"/>
      <c r="C1882" s="59" t="s">
        <v>11</v>
      </c>
      <c r="D1882" s="58" t="s">
        <v>12</v>
      </c>
      <c r="E1882" s="60">
        <v>73.14</v>
      </c>
      <c r="F1882" s="60">
        <v>385.30149999999998</v>
      </c>
    </row>
    <row r="1883" spans="1:6" s="27" customFormat="1" x14ac:dyDescent="0.4">
      <c r="A1883" s="61"/>
      <c r="B1883" s="62"/>
      <c r="C1883" s="63" t="s">
        <v>18</v>
      </c>
      <c r="D1883" s="62" t="s">
        <v>13</v>
      </c>
      <c r="E1883" s="64">
        <v>1.37</v>
      </c>
      <c r="F1883" s="64">
        <v>7.2172000000000001</v>
      </c>
    </row>
    <row r="1884" spans="1:6" s="27" customFormat="1" x14ac:dyDescent="0.4">
      <c r="A1884" s="65"/>
      <c r="B1884" s="66"/>
      <c r="C1884" s="67" t="s">
        <v>19</v>
      </c>
      <c r="D1884" s="66" t="s">
        <v>13</v>
      </c>
      <c r="E1884" s="68">
        <v>2.06</v>
      </c>
      <c r="F1884" s="68">
        <v>10.8521</v>
      </c>
    </row>
    <row r="1885" spans="1:6" s="27" customFormat="1" x14ac:dyDescent="0.4">
      <c r="A1885" s="69"/>
      <c r="B1885" s="70"/>
      <c r="C1885" s="71" t="s">
        <v>766</v>
      </c>
      <c r="D1885" s="70" t="s">
        <v>21</v>
      </c>
      <c r="E1885" s="73">
        <v>100</v>
      </c>
      <c r="F1885" s="72">
        <v>526.79999999999995</v>
      </c>
    </row>
    <row r="1886" spans="1:6" s="27" customFormat="1" x14ac:dyDescent="0.4">
      <c r="A1886" s="76"/>
      <c r="B1886" s="77"/>
      <c r="C1886" s="78" t="s">
        <v>20</v>
      </c>
      <c r="D1886" s="77" t="s">
        <v>14</v>
      </c>
      <c r="E1886" s="79">
        <v>3.3999999999999998E-3</v>
      </c>
      <c r="F1886" s="79">
        <v>1.7911E-2</v>
      </c>
    </row>
    <row r="1887" spans="1:6" s="27" customFormat="1" ht="58.15" x14ac:dyDescent="0.4">
      <c r="A1887" s="54" t="s">
        <v>465</v>
      </c>
      <c r="B1887" s="55" t="s">
        <v>782</v>
      </c>
      <c r="C1887" s="55" t="s">
        <v>783</v>
      </c>
      <c r="D1887" s="56" t="s">
        <v>572</v>
      </c>
      <c r="E1887" s="106">
        <v>0.40500000000000003</v>
      </c>
      <c r="F1887" s="107"/>
    </row>
    <row r="1888" spans="1:6" s="27" customFormat="1" x14ac:dyDescent="0.4">
      <c r="A1888" s="57"/>
      <c r="B1888" s="58"/>
      <c r="C1888" s="59" t="s">
        <v>11</v>
      </c>
      <c r="D1888" s="58" t="s">
        <v>12</v>
      </c>
      <c r="E1888" s="60">
        <v>90.89</v>
      </c>
      <c r="F1888" s="60">
        <v>36.810499999999998</v>
      </c>
    </row>
    <row r="1889" spans="1:6" s="27" customFormat="1" x14ac:dyDescent="0.4">
      <c r="A1889" s="61"/>
      <c r="B1889" s="62"/>
      <c r="C1889" s="63" t="s">
        <v>18</v>
      </c>
      <c r="D1889" s="62" t="s">
        <v>13</v>
      </c>
      <c r="E1889" s="64">
        <v>2.35</v>
      </c>
      <c r="F1889" s="64">
        <v>0.95174999999999998</v>
      </c>
    </row>
    <row r="1890" spans="1:6" s="27" customFormat="1" x14ac:dyDescent="0.4">
      <c r="A1890" s="65"/>
      <c r="B1890" s="66"/>
      <c r="C1890" s="67" t="s">
        <v>678</v>
      </c>
      <c r="D1890" s="66" t="s">
        <v>13</v>
      </c>
      <c r="E1890" s="68">
        <v>6.12</v>
      </c>
      <c r="F1890" s="68">
        <v>2.4786000000000001</v>
      </c>
    </row>
    <row r="1891" spans="1:6" s="27" customFormat="1" x14ac:dyDescent="0.4">
      <c r="A1891" s="65"/>
      <c r="B1891" s="66"/>
      <c r="C1891" s="67" t="s">
        <v>19</v>
      </c>
      <c r="D1891" s="66" t="s">
        <v>13</v>
      </c>
      <c r="E1891" s="68">
        <v>1.57</v>
      </c>
      <c r="F1891" s="68">
        <v>0.63585000000000003</v>
      </c>
    </row>
    <row r="1892" spans="1:6" s="27" customFormat="1" x14ac:dyDescent="0.4">
      <c r="A1892" s="65"/>
      <c r="B1892" s="66"/>
      <c r="C1892" s="67" t="s">
        <v>73</v>
      </c>
      <c r="D1892" s="66" t="s">
        <v>13</v>
      </c>
      <c r="E1892" s="68">
        <v>9.42</v>
      </c>
      <c r="F1892" s="68">
        <v>3.8151000000000002</v>
      </c>
    </row>
    <row r="1893" spans="1:6" s="27" customFormat="1" x14ac:dyDescent="0.4">
      <c r="A1893" s="69"/>
      <c r="B1893" s="70"/>
      <c r="C1893" s="71" t="s">
        <v>771</v>
      </c>
      <c r="D1893" s="70" t="s">
        <v>30</v>
      </c>
      <c r="E1893" s="73">
        <v>240</v>
      </c>
      <c r="F1893" s="72">
        <v>97.2</v>
      </c>
    </row>
    <row r="1894" spans="1:6" s="27" customFormat="1" x14ac:dyDescent="0.4">
      <c r="A1894" s="76"/>
      <c r="B1894" s="77"/>
      <c r="C1894" s="78" t="s">
        <v>772</v>
      </c>
      <c r="D1894" s="77" t="s">
        <v>76</v>
      </c>
      <c r="E1894" s="79">
        <v>0.84</v>
      </c>
      <c r="F1894" s="79">
        <v>0.3402</v>
      </c>
    </row>
    <row r="1895" spans="1:6" s="27" customFormat="1" x14ac:dyDescent="0.4">
      <c r="A1895" s="76"/>
      <c r="B1895" s="77"/>
      <c r="C1895" s="78" t="s">
        <v>784</v>
      </c>
      <c r="D1895" s="77" t="s">
        <v>21</v>
      </c>
      <c r="E1895" s="80">
        <v>100</v>
      </c>
      <c r="F1895" s="79">
        <v>40.5</v>
      </c>
    </row>
    <row r="1896" spans="1:6" s="27" customFormat="1" ht="58.15" x14ac:dyDescent="0.4">
      <c r="A1896" s="54" t="s">
        <v>466</v>
      </c>
      <c r="B1896" s="55" t="s">
        <v>785</v>
      </c>
      <c r="C1896" s="55" t="s">
        <v>786</v>
      </c>
      <c r="D1896" s="56" t="s">
        <v>452</v>
      </c>
      <c r="E1896" s="106">
        <v>1.75</v>
      </c>
      <c r="F1896" s="107"/>
    </row>
    <row r="1897" spans="1:6" s="27" customFormat="1" x14ac:dyDescent="0.4">
      <c r="A1897" s="57"/>
      <c r="B1897" s="58"/>
      <c r="C1897" s="59" t="s">
        <v>11</v>
      </c>
      <c r="D1897" s="58" t="s">
        <v>12</v>
      </c>
      <c r="E1897" s="60">
        <v>21.19</v>
      </c>
      <c r="F1897" s="60">
        <v>37.082500000000003</v>
      </c>
    </row>
    <row r="1898" spans="1:6" s="27" customFormat="1" x14ac:dyDescent="0.4">
      <c r="A1898" s="61"/>
      <c r="B1898" s="62"/>
      <c r="C1898" s="63" t="s">
        <v>19</v>
      </c>
      <c r="D1898" s="62" t="s">
        <v>13</v>
      </c>
      <c r="E1898" s="64">
        <v>0.15</v>
      </c>
      <c r="F1898" s="64">
        <v>0.26250000000000001</v>
      </c>
    </row>
    <row r="1899" spans="1:6" s="27" customFormat="1" x14ac:dyDescent="0.4">
      <c r="A1899" s="69"/>
      <c r="B1899" s="70"/>
      <c r="C1899" s="71" t="s">
        <v>732</v>
      </c>
      <c r="D1899" s="70" t="s">
        <v>30</v>
      </c>
      <c r="E1899" s="73">
        <v>400</v>
      </c>
      <c r="F1899" s="73">
        <v>700</v>
      </c>
    </row>
    <row r="1900" spans="1:6" s="27" customFormat="1" x14ac:dyDescent="0.4">
      <c r="A1900" s="76"/>
      <c r="B1900" s="77"/>
      <c r="C1900" s="78" t="s">
        <v>787</v>
      </c>
      <c r="D1900" s="77" t="s">
        <v>31</v>
      </c>
      <c r="E1900" s="80">
        <v>100</v>
      </c>
      <c r="F1900" s="80">
        <v>175</v>
      </c>
    </row>
    <row r="1901" spans="1:6" s="27" customFormat="1" ht="58.15" x14ac:dyDescent="0.4">
      <c r="A1901" s="54" t="s">
        <v>467</v>
      </c>
      <c r="B1901" s="55" t="s">
        <v>688</v>
      </c>
      <c r="C1901" s="55" t="s">
        <v>984</v>
      </c>
      <c r="D1901" s="56" t="s">
        <v>689</v>
      </c>
      <c r="E1901" s="106">
        <v>0.45019999999999999</v>
      </c>
      <c r="F1901" s="107"/>
    </row>
    <row r="1902" spans="1:6" s="27" customFormat="1" x14ac:dyDescent="0.4">
      <c r="A1902" s="57"/>
      <c r="B1902" s="58"/>
      <c r="C1902" s="59" t="s">
        <v>11</v>
      </c>
      <c r="D1902" s="58" t="s">
        <v>12</v>
      </c>
      <c r="E1902" s="60">
        <v>4.9000000000000004</v>
      </c>
      <c r="F1902" s="60">
        <v>2.206</v>
      </c>
    </row>
    <row r="1903" spans="1:6" s="27" customFormat="1" x14ac:dyDescent="0.4">
      <c r="A1903" s="61"/>
      <c r="B1903" s="62"/>
      <c r="C1903" s="63" t="s">
        <v>19</v>
      </c>
      <c r="D1903" s="62" t="s">
        <v>13</v>
      </c>
      <c r="E1903" s="64">
        <v>0.01</v>
      </c>
      <c r="F1903" s="64">
        <v>4.5019999999999999E-3</v>
      </c>
    </row>
    <row r="1904" spans="1:6" s="27" customFormat="1" x14ac:dyDescent="0.4">
      <c r="A1904" s="69"/>
      <c r="B1904" s="70"/>
      <c r="C1904" s="71" t="s">
        <v>595</v>
      </c>
      <c r="D1904" s="70" t="s">
        <v>14</v>
      </c>
      <c r="E1904" s="72">
        <v>1.4E-3</v>
      </c>
      <c r="F1904" s="72">
        <v>6.3000000000000003E-4</v>
      </c>
    </row>
    <row r="1905" spans="1:6" s="27" customFormat="1" x14ac:dyDescent="0.4">
      <c r="A1905" s="76"/>
      <c r="B1905" s="77"/>
      <c r="C1905" s="78" t="s">
        <v>690</v>
      </c>
      <c r="D1905" s="77" t="s">
        <v>21</v>
      </c>
      <c r="E1905" s="80">
        <v>102</v>
      </c>
      <c r="F1905" s="79">
        <v>45.920400000000001</v>
      </c>
    </row>
  </sheetData>
  <autoFilter ref="A1:F1905" xr:uid="{CEEAA74A-B81B-41B0-B88F-06DF3EA2A4DF}"/>
  <mergeCells count="476">
    <mergeCell ref="C42:D42"/>
    <mergeCell ref="E43:F43"/>
    <mergeCell ref="E50:F50"/>
    <mergeCell ref="E61:F61"/>
    <mergeCell ref="E62:F62"/>
    <mergeCell ref="E68:F68"/>
    <mergeCell ref="E75:F75"/>
    <mergeCell ref="E81:F81"/>
    <mergeCell ref="E24:F24"/>
    <mergeCell ref="E26:F26"/>
    <mergeCell ref="E30:F30"/>
    <mergeCell ref="E32:F32"/>
    <mergeCell ref="E88:F88"/>
    <mergeCell ref="E89:F89"/>
    <mergeCell ref="E90:F90"/>
    <mergeCell ref="E91:F91"/>
    <mergeCell ref="E98:F98"/>
    <mergeCell ref="E99:F99"/>
    <mergeCell ref="E82:F82"/>
    <mergeCell ref="E83:F83"/>
    <mergeCell ref="E84:F84"/>
    <mergeCell ref="E85:F85"/>
    <mergeCell ref="E86:F86"/>
    <mergeCell ref="E87:F87"/>
    <mergeCell ref="E191:F191"/>
    <mergeCell ref="E142:F142"/>
    <mergeCell ref="E148:F148"/>
    <mergeCell ref="E149:F149"/>
    <mergeCell ref="E150:F150"/>
    <mergeCell ref="E161:F161"/>
    <mergeCell ref="E176:F176"/>
    <mergeCell ref="E106:F106"/>
    <mergeCell ref="E107:F107"/>
    <mergeCell ref="E114:F114"/>
    <mergeCell ref="E115:F115"/>
    <mergeCell ref="E130:F130"/>
    <mergeCell ref="E141:F141"/>
    <mergeCell ref="E178:F178"/>
    <mergeCell ref="E179:F179"/>
    <mergeCell ref="E189:F189"/>
    <mergeCell ref="E190:F190"/>
    <mergeCell ref="C301:D301"/>
    <mergeCell ref="E275:F275"/>
    <mergeCell ref="E276:F276"/>
    <mergeCell ref="E277:F277"/>
    <mergeCell ref="C278:D278"/>
    <mergeCell ref="E279:F279"/>
    <mergeCell ref="E297:F297"/>
    <mergeCell ref="E210:F210"/>
    <mergeCell ref="E211:F211"/>
    <mergeCell ref="C248:D248"/>
    <mergeCell ref="E222:F222"/>
    <mergeCell ref="E223:F223"/>
    <mergeCell ref="E224:F224"/>
    <mergeCell ref="C225:D225"/>
    <mergeCell ref="E226:F226"/>
    <mergeCell ref="E244:F244"/>
    <mergeCell ref="E263:F263"/>
    <mergeCell ref="E264:F264"/>
    <mergeCell ref="E245:F245"/>
    <mergeCell ref="E246:F246"/>
    <mergeCell ref="E247:F247"/>
    <mergeCell ref="E249:F249"/>
    <mergeCell ref="E258:F258"/>
    <mergeCell ref="E298:F298"/>
    <mergeCell ref="E313:F313"/>
    <mergeCell ref="E314:F314"/>
    <mergeCell ref="E315:F315"/>
    <mergeCell ref="E316:F316"/>
    <mergeCell ref="E317:F317"/>
    <mergeCell ref="E351:F351"/>
    <mergeCell ref="E352:F352"/>
    <mergeCell ref="E353:F353"/>
    <mergeCell ref="E355:F355"/>
    <mergeCell ref="E328:F328"/>
    <mergeCell ref="E329:F329"/>
    <mergeCell ref="E330:F330"/>
    <mergeCell ref="E332:F332"/>
    <mergeCell ref="E350:F350"/>
    <mergeCell ref="E457:F457"/>
    <mergeCell ref="E383:F383"/>
    <mergeCell ref="C384:D384"/>
    <mergeCell ref="E385:F385"/>
    <mergeCell ref="E403:F403"/>
    <mergeCell ref="E365:F365"/>
    <mergeCell ref="E366:F366"/>
    <mergeCell ref="E367:F367"/>
    <mergeCell ref="E368:F368"/>
    <mergeCell ref="E369:F369"/>
    <mergeCell ref="E370:F370"/>
    <mergeCell ref="E381:F381"/>
    <mergeCell ref="E382:F382"/>
    <mergeCell ref="E404:F404"/>
    <mergeCell ref="E405:F405"/>
    <mergeCell ref="E406:F406"/>
    <mergeCell ref="C407:D407"/>
    <mergeCell ref="E408:F408"/>
    <mergeCell ref="E417:F417"/>
    <mergeCell ref="C354:D354"/>
    <mergeCell ref="C331:D331"/>
    <mergeCell ref="E364:F364"/>
    <mergeCell ref="C699:D699"/>
    <mergeCell ref="E700:F700"/>
    <mergeCell ref="E717:F717"/>
    <mergeCell ref="E718:F718"/>
    <mergeCell ref="E719:F719"/>
    <mergeCell ref="C720:D720"/>
    <mergeCell ref="E675:F675"/>
    <mergeCell ref="E676:F676"/>
    <mergeCell ref="E609:F609"/>
    <mergeCell ref="E618:F618"/>
    <mergeCell ref="E627:F627"/>
    <mergeCell ref="C636:D636"/>
    <mergeCell ref="E637:F637"/>
    <mergeCell ref="E654:F654"/>
    <mergeCell ref="E655:F655"/>
    <mergeCell ref="E656:F656"/>
    <mergeCell ref="C657:D657"/>
    <mergeCell ref="E658:F658"/>
    <mergeCell ref="E747:F747"/>
    <mergeCell ref="E748:F748"/>
    <mergeCell ref="E749:F749"/>
    <mergeCell ref="E752:F752"/>
    <mergeCell ref="C753:D753"/>
    <mergeCell ref="E754:F754"/>
    <mergeCell ref="E721:F721"/>
    <mergeCell ref="E738:F738"/>
    <mergeCell ref="E739:F739"/>
    <mergeCell ref="E740:F740"/>
    <mergeCell ref="C741:D741"/>
    <mergeCell ref="E742:F742"/>
    <mergeCell ref="E771:F771"/>
    <mergeCell ref="E772:F772"/>
    <mergeCell ref="E773:F773"/>
    <mergeCell ref="E776:F776"/>
    <mergeCell ref="C777:D777"/>
    <mergeCell ref="E778:F778"/>
    <mergeCell ref="E759:F759"/>
    <mergeCell ref="E760:F760"/>
    <mergeCell ref="E761:F761"/>
    <mergeCell ref="E764:F764"/>
    <mergeCell ref="C765:D765"/>
    <mergeCell ref="E766:F766"/>
    <mergeCell ref="C893:D893"/>
    <mergeCell ref="E894:F894"/>
    <mergeCell ref="E913:F913"/>
    <mergeCell ref="E800:F800"/>
    <mergeCell ref="C801:D801"/>
    <mergeCell ref="E802:F802"/>
    <mergeCell ref="E783:F783"/>
    <mergeCell ref="E784:F784"/>
    <mergeCell ref="E785:F785"/>
    <mergeCell ref="E788:F788"/>
    <mergeCell ref="C789:D789"/>
    <mergeCell ref="E790:F790"/>
    <mergeCell ref="E795:F795"/>
    <mergeCell ref="E796:F796"/>
    <mergeCell ref="E797:F797"/>
    <mergeCell ref="E815:F815"/>
    <mergeCell ref="E832:F832"/>
    <mergeCell ref="E833:F833"/>
    <mergeCell ref="C834:D834"/>
    <mergeCell ref="E835:F835"/>
    <mergeCell ref="E852:F852"/>
    <mergeCell ref="E807:F807"/>
    <mergeCell ref="E808:F808"/>
    <mergeCell ref="E809:F809"/>
    <mergeCell ref="C1005:D1005"/>
    <mergeCell ref="E1006:F1006"/>
    <mergeCell ref="E1021:F1021"/>
    <mergeCell ref="E1022:F1022"/>
    <mergeCell ref="E1023:F1023"/>
    <mergeCell ref="C1024:D1024"/>
    <mergeCell ref="E979:F979"/>
    <mergeCell ref="C980:D980"/>
    <mergeCell ref="E981:F981"/>
    <mergeCell ref="E987:F987"/>
    <mergeCell ref="E1216:F1216"/>
    <mergeCell ref="C1222:D1222"/>
    <mergeCell ref="C1223:D1223"/>
    <mergeCell ref="E1150:F1150"/>
    <mergeCell ref="E1156:F1156"/>
    <mergeCell ref="E1161:F1161"/>
    <mergeCell ref="E1166:F1166"/>
    <mergeCell ref="E1188:F1188"/>
    <mergeCell ref="E1193:F1193"/>
    <mergeCell ref="E1114:F1114"/>
    <mergeCell ref="E1120:F1120"/>
    <mergeCell ref="E1125:F1125"/>
    <mergeCell ref="E1130:F1130"/>
    <mergeCell ref="E1135:F1135"/>
    <mergeCell ref="E1141:F1141"/>
    <mergeCell ref="E1194:F1194"/>
    <mergeCell ref="E1205:F1205"/>
    <mergeCell ref="E1210:F1210"/>
    <mergeCell ref="C1324:D1324"/>
    <mergeCell ref="E1325:F1325"/>
    <mergeCell ref="E1342:F1342"/>
    <mergeCell ref="E1347:F1347"/>
    <mergeCell ref="E1351:F1351"/>
    <mergeCell ref="C1357:D1357"/>
    <mergeCell ref="C1224:D1224"/>
    <mergeCell ref="E1225:F1225"/>
    <mergeCell ref="E1230:F1230"/>
    <mergeCell ref="C1236:D1236"/>
    <mergeCell ref="E1237:F1237"/>
    <mergeCell ref="E1254:F1254"/>
    <mergeCell ref="E1469:F1469"/>
    <mergeCell ref="E1474:F1474"/>
    <mergeCell ref="E1423:F1423"/>
    <mergeCell ref="E1428:F1428"/>
    <mergeCell ref="E1432:F1432"/>
    <mergeCell ref="C1438:D1438"/>
    <mergeCell ref="E1439:F1439"/>
    <mergeCell ref="E1446:F1446"/>
    <mergeCell ref="E1358:F1358"/>
    <mergeCell ref="C1369:D1369"/>
    <mergeCell ref="E1370:F1370"/>
    <mergeCell ref="E1387:F1387"/>
    <mergeCell ref="E1392:F1392"/>
    <mergeCell ref="E1396:F1396"/>
    <mergeCell ref="C1402:D1402"/>
    <mergeCell ref="E1403:F1403"/>
    <mergeCell ref="E1408:F1408"/>
    <mergeCell ref="C1414:D1414"/>
    <mergeCell ref="C1415:D1415"/>
    <mergeCell ref="E1416:F1416"/>
    <mergeCell ref="E1451:F1451"/>
    <mergeCell ref="E1561:F1561"/>
    <mergeCell ref="E1567:F1567"/>
    <mergeCell ref="C1507:D1507"/>
    <mergeCell ref="E1508:F1508"/>
    <mergeCell ref="E1515:F1515"/>
    <mergeCell ref="E1520:F1520"/>
    <mergeCell ref="E1524:F1524"/>
    <mergeCell ref="C1530:D1530"/>
    <mergeCell ref="E1478:F1478"/>
    <mergeCell ref="C1484:D1484"/>
    <mergeCell ref="E1485:F1485"/>
    <mergeCell ref="E1492:F1492"/>
    <mergeCell ref="E1497:F1497"/>
    <mergeCell ref="E1501:F1501"/>
    <mergeCell ref="E1455:F1455"/>
    <mergeCell ref="C1461:D1461"/>
    <mergeCell ref="E1462:F1462"/>
    <mergeCell ref="C1573:D1573"/>
    <mergeCell ref="E1574:F1574"/>
    <mergeCell ref="E1581:F1581"/>
    <mergeCell ref="E1586:F1586"/>
    <mergeCell ref="E1531:F1531"/>
    <mergeCell ref="E1538:F1538"/>
    <mergeCell ref="C1544:D1544"/>
    <mergeCell ref="E1545:F1545"/>
    <mergeCell ref="E1552:F1552"/>
    <mergeCell ref="E1557:F1557"/>
    <mergeCell ref="C1614:D1614"/>
    <mergeCell ref="E1615:F1615"/>
    <mergeCell ref="E1622:F1622"/>
    <mergeCell ref="E1626:F1626"/>
    <mergeCell ref="E1630:F1630"/>
    <mergeCell ref="E1631:F1631"/>
    <mergeCell ref="E1590:F1590"/>
    <mergeCell ref="C1596:D1596"/>
    <mergeCell ref="C1597:D1597"/>
    <mergeCell ref="E1598:F1598"/>
    <mergeCell ref="E1602:F1602"/>
    <mergeCell ref="E1606:F1606"/>
    <mergeCell ref="E1664:F1664"/>
    <mergeCell ref="E1668:F1668"/>
    <mergeCell ref="E1671:F1671"/>
    <mergeCell ref="E1672:F1672"/>
    <mergeCell ref="E1635:F1635"/>
    <mergeCell ref="E1638:F1638"/>
    <mergeCell ref="E1639:F1639"/>
    <mergeCell ref="C1647:D1647"/>
    <mergeCell ref="E1648:F1648"/>
    <mergeCell ref="E1655:F1655"/>
    <mergeCell ref="C1806:D1806"/>
    <mergeCell ref="C1773:D1773"/>
    <mergeCell ref="E1790:F1790"/>
    <mergeCell ref="C1680:D1680"/>
    <mergeCell ref="E1681:F1681"/>
    <mergeCell ref="E1685:F1685"/>
    <mergeCell ref="E1689:F1689"/>
    <mergeCell ref="C1697:D1697"/>
    <mergeCell ref="E1698:F1698"/>
    <mergeCell ref="C1740:D1740"/>
    <mergeCell ref="E1719:F1719"/>
    <mergeCell ref="E1723:F1723"/>
    <mergeCell ref="E1724:F1724"/>
    <mergeCell ref="E1752:F1752"/>
    <mergeCell ref="E1756:F1756"/>
    <mergeCell ref="E1757:F1757"/>
    <mergeCell ref="E1761:F1761"/>
    <mergeCell ref="E1764:F1764"/>
    <mergeCell ref="E1728:F1728"/>
    <mergeCell ref="E1731:F1731"/>
    <mergeCell ref="E1732:F1732"/>
    <mergeCell ref="E1741:F1741"/>
    <mergeCell ref="E1748:F1748"/>
    <mergeCell ref="E1861:F1861"/>
    <mergeCell ref="E1871:F1871"/>
    <mergeCell ref="E1881:F1881"/>
    <mergeCell ref="E1887:F1887"/>
    <mergeCell ref="E1896:F1896"/>
    <mergeCell ref="E1901:F1901"/>
    <mergeCell ref="E1820:F1820"/>
    <mergeCell ref="E1824:F1824"/>
    <mergeCell ref="C1828:D1828"/>
    <mergeCell ref="E1829:F1829"/>
    <mergeCell ref="E1839:F1839"/>
    <mergeCell ref="E1849:F1849"/>
    <mergeCell ref="B2:F2"/>
    <mergeCell ref="B3:F3"/>
    <mergeCell ref="B6:F6"/>
    <mergeCell ref="A9:A10"/>
    <mergeCell ref="B9:B10"/>
    <mergeCell ref="C9:C10"/>
    <mergeCell ref="D9:D10"/>
    <mergeCell ref="E9:F9"/>
    <mergeCell ref="C5:E5"/>
    <mergeCell ref="C813:D813"/>
    <mergeCell ref="C814:D814"/>
    <mergeCell ref="E677:F677"/>
    <mergeCell ref="C678:D678"/>
    <mergeCell ref="E679:F679"/>
    <mergeCell ref="E696:F696"/>
    <mergeCell ref="E697:F697"/>
    <mergeCell ref="E698:F698"/>
    <mergeCell ref="E1025:F1025"/>
    <mergeCell ref="E886:F886"/>
    <mergeCell ref="E891:F891"/>
    <mergeCell ref="E892:F892"/>
    <mergeCell ref="E997:F997"/>
    <mergeCell ref="E998:F998"/>
    <mergeCell ref="E955:F955"/>
    <mergeCell ref="E956:F956"/>
    <mergeCell ref="E957:F957"/>
    <mergeCell ref="E976:F976"/>
    <mergeCell ref="E977:F977"/>
    <mergeCell ref="E978:F978"/>
    <mergeCell ref="E914:F914"/>
    <mergeCell ref="E915:F915"/>
    <mergeCell ref="E934:F934"/>
    <mergeCell ref="E935:F935"/>
    <mergeCell ref="E312:F312"/>
    <mergeCell ref="E1794:F1794"/>
    <mergeCell ref="E1797:F1797"/>
    <mergeCell ref="E1798:F1798"/>
    <mergeCell ref="E1807:F1807"/>
    <mergeCell ref="E1816:F1816"/>
    <mergeCell ref="E1774:F1774"/>
    <mergeCell ref="E1781:F1781"/>
    <mergeCell ref="E1785:F1785"/>
    <mergeCell ref="E1789:F1789"/>
    <mergeCell ref="E812:F812"/>
    <mergeCell ref="E1036:F1036"/>
    <mergeCell ref="E1047:F1047"/>
    <mergeCell ref="E1058:F1058"/>
    <mergeCell ref="E1066:F1066"/>
    <mergeCell ref="E1075:F1075"/>
    <mergeCell ref="E936:F936"/>
    <mergeCell ref="E954:F954"/>
    <mergeCell ref="E1704:F1704"/>
    <mergeCell ref="E1710:F1710"/>
    <mergeCell ref="E1715:F1715"/>
    <mergeCell ref="E1765:F1765"/>
    <mergeCell ref="E1659:F1659"/>
    <mergeCell ref="E1663:F1663"/>
    <mergeCell ref="E1296:F1296"/>
    <mergeCell ref="C1302:D1302"/>
    <mergeCell ref="E1303:F1303"/>
    <mergeCell ref="E1309:F1309"/>
    <mergeCell ref="E1314:F1314"/>
    <mergeCell ref="E1318:F1318"/>
    <mergeCell ref="E1259:F1259"/>
    <mergeCell ref="E1263:F1263"/>
    <mergeCell ref="C1269:D1269"/>
    <mergeCell ref="E1270:F1270"/>
    <mergeCell ref="E1287:F1287"/>
    <mergeCell ref="E1292:F1292"/>
    <mergeCell ref="E1103:F1103"/>
    <mergeCell ref="E1104:F1104"/>
    <mergeCell ref="E1105:F1105"/>
    <mergeCell ref="E1106:F1106"/>
    <mergeCell ref="E1107:F1107"/>
    <mergeCell ref="E1108:F1108"/>
    <mergeCell ref="E1076:F1076"/>
    <mergeCell ref="E1082:F1082"/>
    <mergeCell ref="C1087:D1087"/>
    <mergeCell ref="E1088:F1088"/>
    <mergeCell ref="E1094:F1094"/>
    <mergeCell ref="E1102:F1102"/>
    <mergeCell ref="C874:D874"/>
    <mergeCell ref="E875:F875"/>
    <mergeCell ref="E880:F880"/>
    <mergeCell ref="E881:F881"/>
    <mergeCell ref="E882:F882"/>
    <mergeCell ref="E885:F885"/>
    <mergeCell ref="E853:F853"/>
    <mergeCell ref="C854:D854"/>
    <mergeCell ref="E855:F855"/>
    <mergeCell ref="E860:F860"/>
    <mergeCell ref="E861:F861"/>
    <mergeCell ref="E868:F868"/>
    <mergeCell ref="C587:D587"/>
    <mergeCell ref="E588:F588"/>
    <mergeCell ref="E605:F605"/>
    <mergeCell ref="E606:F606"/>
    <mergeCell ref="E607:F607"/>
    <mergeCell ref="C608:D608"/>
    <mergeCell ref="E565:F565"/>
    <mergeCell ref="C566:D566"/>
    <mergeCell ref="E567:F567"/>
    <mergeCell ref="E584:F584"/>
    <mergeCell ref="E585:F585"/>
    <mergeCell ref="E586:F586"/>
    <mergeCell ref="E543:F543"/>
    <mergeCell ref="E544:F544"/>
    <mergeCell ref="C545:D545"/>
    <mergeCell ref="E546:F546"/>
    <mergeCell ref="E563:F563"/>
    <mergeCell ref="E564:F564"/>
    <mergeCell ref="E526:F526"/>
    <mergeCell ref="E458:F458"/>
    <mergeCell ref="E459:F459"/>
    <mergeCell ref="E460:F460"/>
    <mergeCell ref="E479:F479"/>
    <mergeCell ref="C505:D505"/>
    <mergeCell ref="E506:F506"/>
    <mergeCell ref="E523:F523"/>
    <mergeCell ref="E524:F524"/>
    <mergeCell ref="C525:D525"/>
    <mergeCell ref="E481:F481"/>
    <mergeCell ref="E490:F490"/>
    <mergeCell ref="E491:F491"/>
    <mergeCell ref="E492:F492"/>
    <mergeCell ref="E503:F503"/>
    <mergeCell ref="E504:F504"/>
    <mergeCell ref="C480:D480"/>
    <mergeCell ref="E434:F434"/>
    <mergeCell ref="E435:F435"/>
    <mergeCell ref="E436:F436"/>
    <mergeCell ref="C437:D437"/>
    <mergeCell ref="E438:F438"/>
    <mergeCell ref="E456:F456"/>
    <mergeCell ref="E418:F418"/>
    <mergeCell ref="E419:F419"/>
    <mergeCell ref="E420:F420"/>
    <mergeCell ref="E421:F421"/>
    <mergeCell ref="E422:F422"/>
    <mergeCell ref="E423:F423"/>
    <mergeCell ref="E299:F299"/>
    <mergeCell ref="E300:F300"/>
    <mergeCell ref="E302:F302"/>
    <mergeCell ref="E311:F311"/>
    <mergeCell ref="C12:D12"/>
    <mergeCell ref="C13:D13"/>
    <mergeCell ref="E14:F14"/>
    <mergeCell ref="E19:F19"/>
    <mergeCell ref="E22:F22"/>
    <mergeCell ref="E259:F259"/>
    <mergeCell ref="E260:F260"/>
    <mergeCell ref="E261:F261"/>
    <mergeCell ref="E262:F262"/>
    <mergeCell ref="E206:F206"/>
    <mergeCell ref="E207:F207"/>
    <mergeCell ref="E208:F208"/>
    <mergeCell ref="E209:F209"/>
    <mergeCell ref="E192:F192"/>
    <mergeCell ref="E193:F193"/>
    <mergeCell ref="E194:F194"/>
    <mergeCell ref="C195:D195"/>
    <mergeCell ref="E196:F196"/>
    <mergeCell ref="E205:F205"/>
    <mergeCell ref="E177:F177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72" fitToHeight="1000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3B96-0DD9-4BAB-97B2-6BFF8CD0FF62}">
  <sheetPr>
    <pageSetUpPr fitToPage="1"/>
  </sheetPr>
  <dimension ref="A1:F478"/>
  <sheetViews>
    <sheetView showGridLines="0" tabSelected="1" view="pageBreakPreview" zoomScaleNormal="100" zoomScaleSheetLayoutView="100" workbookViewId="0">
      <selection activeCell="C15" sqref="C15"/>
    </sheetView>
  </sheetViews>
  <sheetFormatPr defaultRowHeight="13.15" x14ac:dyDescent="0.4"/>
  <cols>
    <col min="1" max="1" width="5.3984375" style="12" customWidth="1"/>
    <col min="2" max="2" width="13.59765625" style="12" hidden="1" customWidth="1"/>
    <col min="3" max="3" width="93.1328125" style="12" customWidth="1"/>
    <col min="4" max="6" width="10.1328125" style="12" customWidth="1"/>
    <col min="7" max="255" width="9.06640625" style="12"/>
    <col min="256" max="256" width="5.3984375" style="12" customWidth="1"/>
    <col min="257" max="257" width="13.59765625" style="12" customWidth="1"/>
    <col min="258" max="258" width="82.86328125" style="12" customWidth="1"/>
    <col min="259" max="261" width="10.1328125" style="12" customWidth="1"/>
    <col min="262" max="511" width="9.06640625" style="12"/>
    <col min="512" max="512" width="5.3984375" style="12" customWidth="1"/>
    <col min="513" max="513" width="13.59765625" style="12" customWidth="1"/>
    <col min="514" max="514" width="82.86328125" style="12" customWidth="1"/>
    <col min="515" max="517" width="10.1328125" style="12" customWidth="1"/>
    <col min="518" max="767" width="9.06640625" style="12"/>
    <col min="768" max="768" width="5.3984375" style="12" customWidth="1"/>
    <col min="769" max="769" width="13.59765625" style="12" customWidth="1"/>
    <col min="770" max="770" width="82.86328125" style="12" customWidth="1"/>
    <col min="771" max="773" width="10.1328125" style="12" customWidth="1"/>
    <col min="774" max="1023" width="9.06640625" style="12"/>
    <col min="1024" max="1024" width="5.3984375" style="12" customWidth="1"/>
    <col min="1025" max="1025" width="13.59765625" style="12" customWidth="1"/>
    <col min="1026" max="1026" width="82.86328125" style="12" customWidth="1"/>
    <col min="1027" max="1029" width="10.1328125" style="12" customWidth="1"/>
    <col min="1030" max="1279" width="9.06640625" style="12"/>
    <col min="1280" max="1280" width="5.3984375" style="12" customWidth="1"/>
    <col min="1281" max="1281" width="13.59765625" style="12" customWidth="1"/>
    <col min="1282" max="1282" width="82.86328125" style="12" customWidth="1"/>
    <col min="1283" max="1285" width="10.1328125" style="12" customWidth="1"/>
    <col min="1286" max="1535" width="9.06640625" style="12"/>
    <col min="1536" max="1536" width="5.3984375" style="12" customWidth="1"/>
    <col min="1537" max="1537" width="13.59765625" style="12" customWidth="1"/>
    <col min="1538" max="1538" width="82.86328125" style="12" customWidth="1"/>
    <col min="1539" max="1541" width="10.1328125" style="12" customWidth="1"/>
    <col min="1542" max="1791" width="9.06640625" style="12"/>
    <col min="1792" max="1792" width="5.3984375" style="12" customWidth="1"/>
    <col min="1793" max="1793" width="13.59765625" style="12" customWidth="1"/>
    <col min="1794" max="1794" width="82.86328125" style="12" customWidth="1"/>
    <col min="1795" max="1797" width="10.1328125" style="12" customWidth="1"/>
    <col min="1798" max="2047" width="9.06640625" style="12"/>
    <col min="2048" max="2048" width="5.3984375" style="12" customWidth="1"/>
    <col min="2049" max="2049" width="13.59765625" style="12" customWidth="1"/>
    <col min="2050" max="2050" width="82.86328125" style="12" customWidth="1"/>
    <col min="2051" max="2053" width="10.1328125" style="12" customWidth="1"/>
    <col min="2054" max="2303" width="9.06640625" style="12"/>
    <col min="2304" max="2304" width="5.3984375" style="12" customWidth="1"/>
    <col min="2305" max="2305" width="13.59765625" style="12" customWidth="1"/>
    <col min="2306" max="2306" width="82.86328125" style="12" customWidth="1"/>
    <col min="2307" max="2309" width="10.1328125" style="12" customWidth="1"/>
    <col min="2310" max="2559" width="9.06640625" style="12"/>
    <col min="2560" max="2560" width="5.3984375" style="12" customWidth="1"/>
    <col min="2561" max="2561" width="13.59765625" style="12" customWidth="1"/>
    <col min="2562" max="2562" width="82.86328125" style="12" customWidth="1"/>
    <col min="2563" max="2565" width="10.1328125" style="12" customWidth="1"/>
    <col min="2566" max="2815" width="9.06640625" style="12"/>
    <col min="2816" max="2816" width="5.3984375" style="12" customWidth="1"/>
    <col min="2817" max="2817" width="13.59765625" style="12" customWidth="1"/>
    <col min="2818" max="2818" width="82.86328125" style="12" customWidth="1"/>
    <col min="2819" max="2821" width="10.1328125" style="12" customWidth="1"/>
    <col min="2822" max="3071" width="9.06640625" style="12"/>
    <col min="3072" max="3072" width="5.3984375" style="12" customWidth="1"/>
    <col min="3073" max="3073" width="13.59765625" style="12" customWidth="1"/>
    <col min="3074" max="3074" width="82.86328125" style="12" customWidth="1"/>
    <col min="3075" max="3077" width="10.1328125" style="12" customWidth="1"/>
    <col min="3078" max="3327" width="9.06640625" style="12"/>
    <col min="3328" max="3328" width="5.3984375" style="12" customWidth="1"/>
    <col min="3329" max="3329" width="13.59765625" style="12" customWidth="1"/>
    <col min="3330" max="3330" width="82.86328125" style="12" customWidth="1"/>
    <col min="3331" max="3333" width="10.1328125" style="12" customWidth="1"/>
    <col min="3334" max="3583" width="9.06640625" style="12"/>
    <col min="3584" max="3584" width="5.3984375" style="12" customWidth="1"/>
    <col min="3585" max="3585" width="13.59765625" style="12" customWidth="1"/>
    <col min="3586" max="3586" width="82.86328125" style="12" customWidth="1"/>
    <col min="3587" max="3589" width="10.1328125" style="12" customWidth="1"/>
    <col min="3590" max="3839" width="9.06640625" style="12"/>
    <col min="3840" max="3840" width="5.3984375" style="12" customWidth="1"/>
    <col min="3841" max="3841" width="13.59765625" style="12" customWidth="1"/>
    <col min="3842" max="3842" width="82.86328125" style="12" customWidth="1"/>
    <col min="3843" max="3845" width="10.1328125" style="12" customWidth="1"/>
    <col min="3846" max="4095" width="9.06640625" style="12"/>
    <col min="4096" max="4096" width="5.3984375" style="12" customWidth="1"/>
    <col min="4097" max="4097" width="13.59765625" style="12" customWidth="1"/>
    <col min="4098" max="4098" width="82.86328125" style="12" customWidth="1"/>
    <col min="4099" max="4101" width="10.1328125" style="12" customWidth="1"/>
    <col min="4102" max="4351" width="9.06640625" style="12"/>
    <col min="4352" max="4352" width="5.3984375" style="12" customWidth="1"/>
    <col min="4353" max="4353" width="13.59765625" style="12" customWidth="1"/>
    <col min="4354" max="4354" width="82.86328125" style="12" customWidth="1"/>
    <col min="4355" max="4357" width="10.1328125" style="12" customWidth="1"/>
    <col min="4358" max="4607" width="9.06640625" style="12"/>
    <col min="4608" max="4608" width="5.3984375" style="12" customWidth="1"/>
    <col min="4609" max="4609" width="13.59765625" style="12" customWidth="1"/>
    <col min="4610" max="4610" width="82.86328125" style="12" customWidth="1"/>
    <col min="4611" max="4613" width="10.1328125" style="12" customWidth="1"/>
    <col min="4614" max="4863" width="9.06640625" style="12"/>
    <col min="4864" max="4864" width="5.3984375" style="12" customWidth="1"/>
    <col min="4865" max="4865" width="13.59765625" style="12" customWidth="1"/>
    <col min="4866" max="4866" width="82.86328125" style="12" customWidth="1"/>
    <col min="4867" max="4869" width="10.1328125" style="12" customWidth="1"/>
    <col min="4870" max="5119" width="9.06640625" style="12"/>
    <col min="5120" max="5120" width="5.3984375" style="12" customWidth="1"/>
    <col min="5121" max="5121" width="13.59765625" style="12" customWidth="1"/>
    <col min="5122" max="5122" width="82.86328125" style="12" customWidth="1"/>
    <col min="5123" max="5125" width="10.1328125" style="12" customWidth="1"/>
    <col min="5126" max="5375" width="9.06640625" style="12"/>
    <col min="5376" max="5376" width="5.3984375" style="12" customWidth="1"/>
    <col min="5377" max="5377" width="13.59765625" style="12" customWidth="1"/>
    <col min="5378" max="5378" width="82.86328125" style="12" customWidth="1"/>
    <col min="5379" max="5381" width="10.1328125" style="12" customWidth="1"/>
    <col min="5382" max="5631" width="9.06640625" style="12"/>
    <col min="5632" max="5632" width="5.3984375" style="12" customWidth="1"/>
    <col min="5633" max="5633" width="13.59765625" style="12" customWidth="1"/>
    <col min="5634" max="5634" width="82.86328125" style="12" customWidth="1"/>
    <col min="5635" max="5637" width="10.1328125" style="12" customWidth="1"/>
    <col min="5638" max="5887" width="9.06640625" style="12"/>
    <col min="5888" max="5888" width="5.3984375" style="12" customWidth="1"/>
    <col min="5889" max="5889" width="13.59765625" style="12" customWidth="1"/>
    <col min="5890" max="5890" width="82.86328125" style="12" customWidth="1"/>
    <col min="5891" max="5893" width="10.1328125" style="12" customWidth="1"/>
    <col min="5894" max="6143" width="9.06640625" style="12"/>
    <col min="6144" max="6144" width="5.3984375" style="12" customWidth="1"/>
    <col min="6145" max="6145" width="13.59765625" style="12" customWidth="1"/>
    <col min="6146" max="6146" width="82.86328125" style="12" customWidth="1"/>
    <col min="6147" max="6149" width="10.1328125" style="12" customWidth="1"/>
    <col min="6150" max="6399" width="9.06640625" style="12"/>
    <col min="6400" max="6400" width="5.3984375" style="12" customWidth="1"/>
    <col min="6401" max="6401" width="13.59765625" style="12" customWidth="1"/>
    <col min="6402" max="6402" width="82.86328125" style="12" customWidth="1"/>
    <col min="6403" max="6405" width="10.1328125" style="12" customWidth="1"/>
    <col min="6406" max="6655" width="9.06640625" style="12"/>
    <col min="6656" max="6656" width="5.3984375" style="12" customWidth="1"/>
    <col min="6657" max="6657" width="13.59765625" style="12" customWidth="1"/>
    <col min="6658" max="6658" width="82.86328125" style="12" customWidth="1"/>
    <col min="6659" max="6661" width="10.1328125" style="12" customWidth="1"/>
    <col min="6662" max="6911" width="9.06640625" style="12"/>
    <col min="6912" max="6912" width="5.3984375" style="12" customWidth="1"/>
    <col min="6913" max="6913" width="13.59765625" style="12" customWidth="1"/>
    <col min="6914" max="6914" width="82.86328125" style="12" customWidth="1"/>
    <col min="6915" max="6917" width="10.1328125" style="12" customWidth="1"/>
    <col min="6918" max="7167" width="9.06640625" style="12"/>
    <col min="7168" max="7168" width="5.3984375" style="12" customWidth="1"/>
    <col min="7169" max="7169" width="13.59765625" style="12" customWidth="1"/>
    <col min="7170" max="7170" width="82.86328125" style="12" customWidth="1"/>
    <col min="7171" max="7173" width="10.1328125" style="12" customWidth="1"/>
    <col min="7174" max="7423" width="9.06640625" style="12"/>
    <col min="7424" max="7424" width="5.3984375" style="12" customWidth="1"/>
    <col min="7425" max="7425" width="13.59765625" style="12" customWidth="1"/>
    <col min="7426" max="7426" width="82.86328125" style="12" customWidth="1"/>
    <col min="7427" max="7429" width="10.1328125" style="12" customWidth="1"/>
    <col min="7430" max="7679" width="9.06640625" style="12"/>
    <col min="7680" max="7680" width="5.3984375" style="12" customWidth="1"/>
    <col min="7681" max="7681" width="13.59765625" style="12" customWidth="1"/>
    <col min="7682" max="7682" width="82.86328125" style="12" customWidth="1"/>
    <col min="7683" max="7685" width="10.1328125" style="12" customWidth="1"/>
    <col min="7686" max="7935" width="9.06640625" style="12"/>
    <col min="7936" max="7936" width="5.3984375" style="12" customWidth="1"/>
    <col min="7937" max="7937" width="13.59765625" style="12" customWidth="1"/>
    <col min="7938" max="7938" width="82.86328125" style="12" customWidth="1"/>
    <col min="7939" max="7941" width="10.1328125" style="12" customWidth="1"/>
    <col min="7942" max="8191" width="9.06640625" style="12"/>
    <col min="8192" max="8192" width="5.3984375" style="12" customWidth="1"/>
    <col min="8193" max="8193" width="13.59765625" style="12" customWidth="1"/>
    <col min="8194" max="8194" width="82.86328125" style="12" customWidth="1"/>
    <col min="8195" max="8197" width="10.1328125" style="12" customWidth="1"/>
    <col min="8198" max="8447" width="9.06640625" style="12"/>
    <col min="8448" max="8448" width="5.3984375" style="12" customWidth="1"/>
    <col min="8449" max="8449" width="13.59765625" style="12" customWidth="1"/>
    <col min="8450" max="8450" width="82.86328125" style="12" customWidth="1"/>
    <col min="8451" max="8453" width="10.1328125" style="12" customWidth="1"/>
    <col min="8454" max="8703" width="9.06640625" style="12"/>
    <col min="8704" max="8704" width="5.3984375" style="12" customWidth="1"/>
    <col min="8705" max="8705" width="13.59765625" style="12" customWidth="1"/>
    <col min="8706" max="8706" width="82.86328125" style="12" customWidth="1"/>
    <col min="8707" max="8709" width="10.1328125" style="12" customWidth="1"/>
    <col min="8710" max="8959" width="9.06640625" style="12"/>
    <col min="8960" max="8960" width="5.3984375" style="12" customWidth="1"/>
    <col min="8961" max="8961" width="13.59765625" style="12" customWidth="1"/>
    <col min="8962" max="8962" width="82.86328125" style="12" customWidth="1"/>
    <col min="8963" max="8965" width="10.1328125" style="12" customWidth="1"/>
    <col min="8966" max="9215" width="9.06640625" style="12"/>
    <col min="9216" max="9216" width="5.3984375" style="12" customWidth="1"/>
    <col min="9217" max="9217" width="13.59765625" style="12" customWidth="1"/>
    <col min="9218" max="9218" width="82.86328125" style="12" customWidth="1"/>
    <col min="9219" max="9221" width="10.1328125" style="12" customWidth="1"/>
    <col min="9222" max="9471" width="9.06640625" style="12"/>
    <col min="9472" max="9472" width="5.3984375" style="12" customWidth="1"/>
    <col min="9473" max="9473" width="13.59765625" style="12" customWidth="1"/>
    <col min="9474" max="9474" width="82.86328125" style="12" customWidth="1"/>
    <col min="9475" max="9477" width="10.1328125" style="12" customWidth="1"/>
    <col min="9478" max="9727" width="9.06640625" style="12"/>
    <col min="9728" max="9728" width="5.3984375" style="12" customWidth="1"/>
    <col min="9729" max="9729" width="13.59765625" style="12" customWidth="1"/>
    <col min="9730" max="9730" width="82.86328125" style="12" customWidth="1"/>
    <col min="9731" max="9733" width="10.1328125" style="12" customWidth="1"/>
    <col min="9734" max="9983" width="9.06640625" style="12"/>
    <col min="9984" max="9984" width="5.3984375" style="12" customWidth="1"/>
    <col min="9985" max="9985" width="13.59765625" style="12" customWidth="1"/>
    <col min="9986" max="9986" width="82.86328125" style="12" customWidth="1"/>
    <col min="9987" max="9989" width="10.1328125" style="12" customWidth="1"/>
    <col min="9990" max="10239" width="9.06640625" style="12"/>
    <col min="10240" max="10240" width="5.3984375" style="12" customWidth="1"/>
    <col min="10241" max="10241" width="13.59765625" style="12" customWidth="1"/>
    <col min="10242" max="10242" width="82.86328125" style="12" customWidth="1"/>
    <col min="10243" max="10245" width="10.1328125" style="12" customWidth="1"/>
    <col min="10246" max="10495" width="9.06640625" style="12"/>
    <col min="10496" max="10496" width="5.3984375" style="12" customWidth="1"/>
    <col min="10497" max="10497" width="13.59765625" style="12" customWidth="1"/>
    <col min="10498" max="10498" width="82.86328125" style="12" customWidth="1"/>
    <col min="10499" max="10501" width="10.1328125" style="12" customWidth="1"/>
    <col min="10502" max="10751" width="9.06640625" style="12"/>
    <col min="10752" max="10752" width="5.3984375" style="12" customWidth="1"/>
    <col min="10753" max="10753" width="13.59765625" style="12" customWidth="1"/>
    <col min="10754" max="10754" width="82.86328125" style="12" customWidth="1"/>
    <col min="10755" max="10757" width="10.1328125" style="12" customWidth="1"/>
    <col min="10758" max="11007" width="9.06640625" style="12"/>
    <col min="11008" max="11008" width="5.3984375" style="12" customWidth="1"/>
    <col min="11009" max="11009" width="13.59765625" style="12" customWidth="1"/>
    <col min="11010" max="11010" width="82.86328125" style="12" customWidth="1"/>
    <col min="11011" max="11013" width="10.1328125" style="12" customWidth="1"/>
    <col min="11014" max="11263" width="9.06640625" style="12"/>
    <col min="11264" max="11264" width="5.3984375" style="12" customWidth="1"/>
    <col min="11265" max="11265" width="13.59765625" style="12" customWidth="1"/>
    <col min="11266" max="11266" width="82.86328125" style="12" customWidth="1"/>
    <col min="11267" max="11269" width="10.1328125" style="12" customWidth="1"/>
    <col min="11270" max="11519" width="9.06640625" style="12"/>
    <col min="11520" max="11520" width="5.3984375" style="12" customWidth="1"/>
    <col min="11521" max="11521" width="13.59765625" style="12" customWidth="1"/>
    <col min="11522" max="11522" width="82.86328125" style="12" customWidth="1"/>
    <col min="11523" max="11525" width="10.1328125" style="12" customWidth="1"/>
    <col min="11526" max="11775" width="9.06640625" style="12"/>
    <col min="11776" max="11776" width="5.3984375" style="12" customWidth="1"/>
    <col min="11777" max="11777" width="13.59765625" style="12" customWidth="1"/>
    <col min="11778" max="11778" width="82.86328125" style="12" customWidth="1"/>
    <col min="11779" max="11781" width="10.1328125" style="12" customWidth="1"/>
    <col min="11782" max="12031" width="9.06640625" style="12"/>
    <col min="12032" max="12032" width="5.3984375" style="12" customWidth="1"/>
    <col min="12033" max="12033" width="13.59765625" style="12" customWidth="1"/>
    <col min="12034" max="12034" width="82.86328125" style="12" customWidth="1"/>
    <col min="12035" max="12037" width="10.1328125" style="12" customWidth="1"/>
    <col min="12038" max="12287" width="9.06640625" style="12"/>
    <col min="12288" max="12288" width="5.3984375" style="12" customWidth="1"/>
    <col min="12289" max="12289" width="13.59765625" style="12" customWidth="1"/>
    <col min="12290" max="12290" width="82.86328125" style="12" customWidth="1"/>
    <col min="12291" max="12293" width="10.1328125" style="12" customWidth="1"/>
    <col min="12294" max="12543" width="9.06640625" style="12"/>
    <col min="12544" max="12544" width="5.3984375" style="12" customWidth="1"/>
    <col min="12545" max="12545" width="13.59765625" style="12" customWidth="1"/>
    <col min="12546" max="12546" width="82.86328125" style="12" customWidth="1"/>
    <col min="12547" max="12549" width="10.1328125" style="12" customWidth="1"/>
    <col min="12550" max="12799" width="9.06640625" style="12"/>
    <col min="12800" max="12800" width="5.3984375" style="12" customWidth="1"/>
    <col min="12801" max="12801" width="13.59765625" style="12" customWidth="1"/>
    <col min="12802" max="12802" width="82.86328125" style="12" customWidth="1"/>
    <col min="12803" max="12805" width="10.1328125" style="12" customWidth="1"/>
    <col min="12806" max="13055" width="9.06640625" style="12"/>
    <col min="13056" max="13056" width="5.3984375" style="12" customWidth="1"/>
    <col min="13057" max="13057" width="13.59765625" style="12" customWidth="1"/>
    <col min="13058" max="13058" width="82.86328125" style="12" customWidth="1"/>
    <col min="13059" max="13061" width="10.1328125" style="12" customWidth="1"/>
    <col min="13062" max="13311" width="9.06640625" style="12"/>
    <col min="13312" max="13312" width="5.3984375" style="12" customWidth="1"/>
    <col min="13313" max="13313" width="13.59765625" style="12" customWidth="1"/>
    <col min="13314" max="13314" width="82.86328125" style="12" customWidth="1"/>
    <col min="13315" max="13317" width="10.1328125" style="12" customWidth="1"/>
    <col min="13318" max="13567" width="9.06640625" style="12"/>
    <col min="13568" max="13568" width="5.3984375" style="12" customWidth="1"/>
    <col min="13569" max="13569" width="13.59765625" style="12" customWidth="1"/>
    <col min="13570" max="13570" width="82.86328125" style="12" customWidth="1"/>
    <col min="13571" max="13573" width="10.1328125" style="12" customWidth="1"/>
    <col min="13574" max="13823" width="9.06640625" style="12"/>
    <col min="13824" max="13824" width="5.3984375" style="12" customWidth="1"/>
    <col min="13825" max="13825" width="13.59765625" style="12" customWidth="1"/>
    <col min="13826" max="13826" width="82.86328125" style="12" customWidth="1"/>
    <col min="13827" max="13829" width="10.1328125" style="12" customWidth="1"/>
    <col min="13830" max="14079" width="9.06640625" style="12"/>
    <col min="14080" max="14080" width="5.3984375" style="12" customWidth="1"/>
    <col min="14081" max="14081" width="13.59765625" style="12" customWidth="1"/>
    <col min="14082" max="14082" width="82.86328125" style="12" customWidth="1"/>
    <col min="14083" max="14085" width="10.1328125" style="12" customWidth="1"/>
    <col min="14086" max="14335" width="9.06640625" style="12"/>
    <col min="14336" max="14336" width="5.3984375" style="12" customWidth="1"/>
    <col min="14337" max="14337" width="13.59765625" style="12" customWidth="1"/>
    <col min="14338" max="14338" width="82.86328125" style="12" customWidth="1"/>
    <col min="14339" max="14341" width="10.1328125" style="12" customWidth="1"/>
    <col min="14342" max="14591" width="9.06640625" style="12"/>
    <col min="14592" max="14592" width="5.3984375" style="12" customWidth="1"/>
    <col min="14593" max="14593" width="13.59765625" style="12" customWidth="1"/>
    <col min="14594" max="14594" width="82.86328125" style="12" customWidth="1"/>
    <col min="14595" max="14597" width="10.1328125" style="12" customWidth="1"/>
    <col min="14598" max="14847" width="9.06640625" style="12"/>
    <col min="14848" max="14848" width="5.3984375" style="12" customWidth="1"/>
    <col min="14849" max="14849" width="13.59765625" style="12" customWidth="1"/>
    <col min="14850" max="14850" width="82.86328125" style="12" customWidth="1"/>
    <col min="14851" max="14853" width="10.1328125" style="12" customWidth="1"/>
    <col min="14854" max="15103" width="9.06640625" style="12"/>
    <col min="15104" max="15104" width="5.3984375" style="12" customWidth="1"/>
    <col min="15105" max="15105" width="13.59765625" style="12" customWidth="1"/>
    <col min="15106" max="15106" width="82.86328125" style="12" customWidth="1"/>
    <col min="15107" max="15109" width="10.1328125" style="12" customWidth="1"/>
    <col min="15110" max="15359" width="9.06640625" style="12"/>
    <col min="15360" max="15360" width="5.3984375" style="12" customWidth="1"/>
    <col min="15361" max="15361" width="13.59765625" style="12" customWidth="1"/>
    <col min="15362" max="15362" width="82.86328125" style="12" customWidth="1"/>
    <col min="15363" max="15365" width="10.1328125" style="12" customWidth="1"/>
    <col min="15366" max="15615" width="9.06640625" style="12"/>
    <col min="15616" max="15616" width="5.3984375" style="12" customWidth="1"/>
    <col min="15617" max="15617" width="13.59765625" style="12" customWidth="1"/>
    <col min="15618" max="15618" width="82.86328125" style="12" customWidth="1"/>
    <col min="15619" max="15621" width="10.1328125" style="12" customWidth="1"/>
    <col min="15622" max="15871" width="9.06640625" style="12"/>
    <col min="15872" max="15872" width="5.3984375" style="12" customWidth="1"/>
    <col min="15873" max="15873" width="13.59765625" style="12" customWidth="1"/>
    <col min="15874" max="15874" width="82.86328125" style="12" customWidth="1"/>
    <col min="15875" max="15877" width="10.1328125" style="12" customWidth="1"/>
    <col min="15878" max="16127" width="9.06640625" style="12"/>
    <col min="16128" max="16128" width="5.3984375" style="12" customWidth="1"/>
    <col min="16129" max="16129" width="13.59765625" style="12" customWidth="1"/>
    <col min="16130" max="16130" width="82.86328125" style="12" customWidth="1"/>
    <col min="16131" max="16133" width="10.1328125" style="12" customWidth="1"/>
    <col min="16134" max="16384" width="9.06640625" style="12"/>
  </cols>
  <sheetData>
    <row r="1" spans="1:6" s="50" customFormat="1" x14ac:dyDescent="0.45">
      <c r="F1" s="2"/>
    </row>
    <row r="2" spans="1:6" s="50" customFormat="1" ht="39" customHeight="1" x14ac:dyDescent="0.45">
      <c r="B2" s="96" t="s">
        <v>987</v>
      </c>
      <c r="C2" s="96"/>
      <c r="D2" s="96"/>
      <c r="E2" s="96"/>
      <c r="F2" s="96"/>
    </row>
    <row r="3" spans="1:6" s="50" customFormat="1" x14ac:dyDescent="0.45">
      <c r="A3" s="3"/>
      <c r="B3" s="113" t="s">
        <v>0</v>
      </c>
      <c r="C3" s="113"/>
      <c r="D3" s="113"/>
      <c r="E3" s="113"/>
      <c r="F3" s="113"/>
    </row>
    <row r="4" spans="1:6" s="50" customFormat="1" x14ac:dyDescent="0.45">
      <c r="C4" s="4"/>
      <c r="D4" s="4"/>
      <c r="E4" s="4"/>
      <c r="F4" s="4"/>
    </row>
    <row r="5" spans="1:6" s="50" customFormat="1" ht="15" x14ac:dyDescent="0.45">
      <c r="A5" s="5"/>
      <c r="B5" s="5"/>
      <c r="C5" s="119" t="s">
        <v>232</v>
      </c>
      <c r="D5" s="119"/>
      <c r="E5" s="119"/>
      <c r="F5" s="14"/>
    </row>
    <row r="6" spans="1:6" s="50" customFormat="1" x14ac:dyDescent="0.45">
      <c r="A6" s="3"/>
      <c r="B6" s="114" t="s">
        <v>1</v>
      </c>
      <c r="C6" s="114"/>
      <c r="D6" s="114"/>
      <c r="E6" s="114"/>
      <c r="F6" s="114"/>
    </row>
    <row r="7" spans="1:6" s="50" customFormat="1" x14ac:dyDescent="0.45">
      <c r="D7" s="4"/>
      <c r="F7" s="6" t="s">
        <v>2</v>
      </c>
    </row>
    <row r="8" spans="1:6" s="50" customFormat="1" ht="15" x14ac:dyDescent="0.45">
      <c r="A8" s="15"/>
      <c r="B8" s="15"/>
      <c r="C8" s="120" t="s">
        <v>993</v>
      </c>
      <c r="D8" s="120"/>
      <c r="E8" s="120"/>
      <c r="F8" s="15"/>
    </row>
    <row r="9" spans="1:6" s="29" customFormat="1" ht="12.75" customHeight="1" x14ac:dyDescent="0.45">
      <c r="A9" s="115" t="s">
        <v>3</v>
      </c>
      <c r="B9" s="115" t="s">
        <v>4</v>
      </c>
      <c r="C9" s="115" t="s">
        <v>5</v>
      </c>
      <c r="D9" s="115" t="s">
        <v>6</v>
      </c>
      <c r="E9" s="117" t="s">
        <v>7</v>
      </c>
      <c r="F9" s="118"/>
    </row>
    <row r="10" spans="1:6" s="29" customFormat="1" ht="34.5" customHeight="1" x14ac:dyDescent="0.45">
      <c r="A10" s="116"/>
      <c r="B10" s="116"/>
      <c r="C10" s="116"/>
      <c r="D10" s="116"/>
      <c r="E10" s="8" t="s">
        <v>8</v>
      </c>
      <c r="F10" s="8" t="s">
        <v>9</v>
      </c>
    </row>
    <row r="11" spans="1:6" s="30" customFormat="1" x14ac:dyDescent="0.4">
      <c r="A11" s="9">
        <v>1</v>
      </c>
      <c r="B11" s="10">
        <v>2</v>
      </c>
      <c r="C11" s="10">
        <v>3</v>
      </c>
      <c r="D11" s="10">
        <v>4</v>
      </c>
      <c r="E11" s="10">
        <v>5</v>
      </c>
      <c r="F11" s="10">
        <v>6</v>
      </c>
    </row>
    <row r="12" spans="1:6" s="30" customFormat="1" x14ac:dyDescent="0.4">
      <c r="A12" s="51"/>
      <c r="B12" s="52"/>
      <c r="C12" s="110" t="s">
        <v>800</v>
      </c>
      <c r="D12" s="110"/>
      <c r="E12" s="52"/>
      <c r="F12" s="88"/>
    </row>
    <row r="13" spans="1:6" s="30" customFormat="1" x14ac:dyDescent="0.4">
      <c r="A13" s="51"/>
      <c r="B13" s="52"/>
      <c r="C13" s="110" t="s">
        <v>475</v>
      </c>
      <c r="D13" s="110"/>
      <c r="E13" s="52"/>
      <c r="F13" s="88"/>
    </row>
    <row r="14" spans="1:6" s="30" customFormat="1" ht="58.15" x14ac:dyDescent="0.4">
      <c r="A14" s="54" t="s">
        <v>10</v>
      </c>
      <c r="B14" s="55" t="s">
        <v>801</v>
      </c>
      <c r="C14" s="93" t="s">
        <v>802</v>
      </c>
      <c r="D14" s="94" t="s">
        <v>803</v>
      </c>
      <c r="E14" s="106">
        <v>25.035</v>
      </c>
      <c r="F14" s="107"/>
    </row>
    <row r="15" spans="1:6" s="30" customFormat="1" ht="58.15" x14ac:dyDescent="0.4">
      <c r="A15" s="54" t="s">
        <v>15</v>
      </c>
      <c r="B15" s="55" t="s">
        <v>476</v>
      </c>
      <c r="C15" s="93" t="s">
        <v>477</v>
      </c>
      <c r="D15" s="94" t="s">
        <v>478</v>
      </c>
      <c r="E15" s="111">
        <v>1</v>
      </c>
      <c r="F15" s="112"/>
    </row>
    <row r="16" spans="1:6" s="30" customFormat="1" ht="34.9" x14ac:dyDescent="0.4">
      <c r="A16" s="54" t="s">
        <v>16</v>
      </c>
      <c r="B16" s="55" t="s">
        <v>805</v>
      </c>
      <c r="C16" s="93" t="s">
        <v>806</v>
      </c>
      <c r="D16" s="94" t="s">
        <v>807</v>
      </c>
      <c r="E16" s="106">
        <v>7.8105000000000002</v>
      </c>
      <c r="F16" s="107"/>
    </row>
    <row r="17" spans="1:6" s="30" customFormat="1" ht="23.25" x14ac:dyDescent="0.4">
      <c r="A17" s="54" t="s">
        <v>17</v>
      </c>
      <c r="B17" s="55" t="s">
        <v>489</v>
      </c>
      <c r="C17" s="93" t="s">
        <v>490</v>
      </c>
      <c r="D17" s="94" t="s">
        <v>491</v>
      </c>
      <c r="E17" s="106">
        <v>1.7810999999999999</v>
      </c>
      <c r="F17" s="107"/>
    </row>
    <row r="18" spans="1:6" s="30" customFormat="1" x14ac:dyDescent="0.4">
      <c r="A18" s="54" t="s">
        <v>24</v>
      </c>
      <c r="B18" s="55" t="s">
        <v>493</v>
      </c>
      <c r="C18" s="93" t="s">
        <v>494</v>
      </c>
      <c r="D18" s="94" t="s">
        <v>478</v>
      </c>
      <c r="E18" s="106">
        <v>1.7810999999999999</v>
      </c>
      <c r="F18" s="107"/>
    </row>
    <row r="19" spans="1:6" s="30" customFormat="1" ht="34.9" x14ac:dyDescent="0.4">
      <c r="A19" s="54" t="s">
        <v>27</v>
      </c>
      <c r="B19" s="55" t="s">
        <v>808</v>
      </c>
      <c r="C19" s="93" t="s">
        <v>809</v>
      </c>
      <c r="D19" s="94" t="s">
        <v>14</v>
      </c>
      <c r="E19" s="106">
        <v>41307.800000000003</v>
      </c>
      <c r="F19" s="107"/>
    </row>
    <row r="20" spans="1:6" s="30" customFormat="1" x14ac:dyDescent="0.4">
      <c r="A20" s="54" t="s">
        <v>28</v>
      </c>
      <c r="B20" s="55" t="s">
        <v>480</v>
      </c>
      <c r="C20" s="93" t="s">
        <v>481</v>
      </c>
      <c r="D20" s="94" t="s">
        <v>478</v>
      </c>
      <c r="E20" s="106">
        <v>19.05</v>
      </c>
      <c r="F20" s="107"/>
    </row>
    <row r="21" spans="1:6" s="30" customFormat="1" x14ac:dyDescent="0.4">
      <c r="A21" s="51"/>
      <c r="B21" s="52"/>
      <c r="C21" s="110" t="s">
        <v>495</v>
      </c>
      <c r="D21" s="110"/>
      <c r="E21" s="52"/>
      <c r="F21" s="88"/>
    </row>
    <row r="22" spans="1:6" s="30" customFormat="1" ht="23.25" x14ac:dyDescent="0.4">
      <c r="A22" s="54" t="s">
        <v>29</v>
      </c>
      <c r="B22" s="55" t="s">
        <v>496</v>
      </c>
      <c r="C22" s="93" t="s">
        <v>497</v>
      </c>
      <c r="D22" s="94" t="s">
        <v>313</v>
      </c>
      <c r="E22" s="106">
        <v>0.63300000000000001</v>
      </c>
      <c r="F22" s="107"/>
    </row>
    <row r="23" spans="1:6" s="30" customFormat="1" ht="23.25" x14ac:dyDescent="0.4">
      <c r="A23" s="54" t="s">
        <v>32</v>
      </c>
      <c r="B23" s="55" t="s">
        <v>498</v>
      </c>
      <c r="C23" s="93" t="s">
        <v>499</v>
      </c>
      <c r="D23" s="94" t="s">
        <v>500</v>
      </c>
      <c r="E23" s="106">
        <v>4.4000000000000004</v>
      </c>
      <c r="F23" s="107"/>
    </row>
    <row r="24" spans="1:6" s="30" customFormat="1" ht="23.25" x14ac:dyDescent="0.4">
      <c r="A24" s="54" t="s">
        <v>33</v>
      </c>
      <c r="B24" s="55" t="s">
        <v>34</v>
      </c>
      <c r="C24" s="93" t="s">
        <v>505</v>
      </c>
      <c r="D24" s="94" t="s">
        <v>14</v>
      </c>
      <c r="E24" s="104">
        <v>6.6550000000000002</v>
      </c>
      <c r="F24" s="105"/>
    </row>
    <row r="25" spans="1:6" s="30" customFormat="1" ht="23.25" x14ac:dyDescent="0.4">
      <c r="A25" s="54" t="s">
        <v>35</v>
      </c>
      <c r="B25" s="55" t="s">
        <v>506</v>
      </c>
      <c r="C25" s="93" t="s">
        <v>507</v>
      </c>
      <c r="D25" s="94" t="s">
        <v>508</v>
      </c>
      <c r="E25" s="106">
        <v>5.7240000000000002</v>
      </c>
      <c r="F25" s="107"/>
    </row>
    <row r="26" spans="1:6" s="30" customFormat="1" ht="23.25" x14ac:dyDescent="0.4">
      <c r="A26" s="54" t="s">
        <v>36</v>
      </c>
      <c r="B26" s="55" t="s">
        <v>512</v>
      </c>
      <c r="C26" s="93" t="s">
        <v>513</v>
      </c>
      <c r="D26" s="94" t="s">
        <v>508</v>
      </c>
      <c r="E26" s="106">
        <v>5.7240000000000002</v>
      </c>
      <c r="F26" s="107"/>
    </row>
    <row r="27" spans="1:6" s="30" customFormat="1" ht="23.25" x14ac:dyDescent="0.4">
      <c r="A27" s="54" t="s">
        <v>37</v>
      </c>
      <c r="B27" s="55" t="s">
        <v>515</v>
      </c>
      <c r="C27" s="93" t="s">
        <v>516</v>
      </c>
      <c r="D27" s="94" t="s">
        <v>508</v>
      </c>
      <c r="E27" s="106">
        <v>6.86</v>
      </c>
      <c r="F27" s="107"/>
    </row>
    <row r="28" spans="1:6" s="30" customFormat="1" ht="23.25" x14ac:dyDescent="0.4">
      <c r="A28" s="54" t="s">
        <v>38</v>
      </c>
      <c r="B28" s="55" t="s">
        <v>34</v>
      </c>
      <c r="C28" s="93" t="s">
        <v>552</v>
      </c>
      <c r="D28" s="94" t="s">
        <v>14</v>
      </c>
      <c r="E28" s="104">
        <v>2.544</v>
      </c>
      <c r="F28" s="105"/>
    </row>
    <row r="29" spans="1:6" s="30" customFormat="1" ht="23.25" x14ac:dyDescent="0.4">
      <c r="A29" s="54" t="s">
        <v>39</v>
      </c>
      <c r="B29" s="55" t="s">
        <v>34</v>
      </c>
      <c r="C29" s="93" t="s">
        <v>554</v>
      </c>
      <c r="D29" s="94" t="s">
        <v>14</v>
      </c>
      <c r="E29" s="104">
        <v>9.0792999999999999</v>
      </c>
      <c r="F29" s="105"/>
    </row>
    <row r="30" spans="1:6" s="30" customFormat="1" ht="23.25" x14ac:dyDescent="0.4">
      <c r="A30" s="54" t="s">
        <v>40</v>
      </c>
      <c r="B30" s="55" t="s">
        <v>34</v>
      </c>
      <c r="C30" s="93" t="s">
        <v>505</v>
      </c>
      <c r="D30" s="94" t="s">
        <v>14</v>
      </c>
      <c r="E30" s="104">
        <v>6.6550000000000002</v>
      </c>
      <c r="F30" s="105"/>
    </row>
    <row r="31" spans="1:6" s="30" customFormat="1" ht="23.25" x14ac:dyDescent="0.4">
      <c r="A31" s="54" t="s">
        <v>44</v>
      </c>
      <c r="B31" s="55" t="s">
        <v>34</v>
      </c>
      <c r="C31" s="93" t="s">
        <v>553</v>
      </c>
      <c r="D31" s="94" t="s">
        <v>14</v>
      </c>
      <c r="E31" s="104">
        <v>11.98</v>
      </c>
      <c r="F31" s="105"/>
    </row>
    <row r="32" spans="1:6" s="30" customFormat="1" ht="23.25" x14ac:dyDescent="0.4">
      <c r="A32" s="54" t="s">
        <v>45</v>
      </c>
      <c r="B32" s="55" t="s">
        <v>34</v>
      </c>
      <c r="C32" s="93" t="s">
        <v>811</v>
      </c>
      <c r="D32" s="94" t="s">
        <v>14</v>
      </c>
      <c r="E32" s="104">
        <v>3.871</v>
      </c>
      <c r="F32" s="105"/>
    </row>
    <row r="33" spans="1:6" s="30" customFormat="1" ht="23.25" x14ac:dyDescent="0.4">
      <c r="A33" s="54" t="s">
        <v>46</v>
      </c>
      <c r="B33" s="55" t="s">
        <v>34</v>
      </c>
      <c r="C33" s="93" t="s">
        <v>521</v>
      </c>
      <c r="D33" s="94" t="s">
        <v>14</v>
      </c>
      <c r="E33" s="104">
        <v>1.893</v>
      </c>
      <c r="F33" s="105"/>
    </row>
    <row r="34" spans="1:6" s="30" customFormat="1" ht="23.25" x14ac:dyDescent="0.4">
      <c r="A34" s="54" t="s">
        <v>47</v>
      </c>
      <c r="B34" s="55" t="s">
        <v>34</v>
      </c>
      <c r="C34" s="93" t="s">
        <v>522</v>
      </c>
      <c r="D34" s="94" t="s">
        <v>14</v>
      </c>
      <c r="E34" s="104">
        <v>0.27560000000000001</v>
      </c>
      <c r="F34" s="105"/>
    </row>
    <row r="35" spans="1:6" s="30" customFormat="1" ht="23.25" x14ac:dyDescent="0.4">
      <c r="A35" s="54" t="s">
        <v>48</v>
      </c>
      <c r="B35" s="55" t="s">
        <v>34</v>
      </c>
      <c r="C35" s="93" t="s">
        <v>789</v>
      </c>
      <c r="D35" s="94" t="s">
        <v>14</v>
      </c>
      <c r="E35" s="104">
        <v>0.19650000000000001</v>
      </c>
      <c r="F35" s="105"/>
    </row>
    <row r="36" spans="1:6" s="30" customFormat="1" ht="23.25" x14ac:dyDescent="0.4">
      <c r="A36" s="54" t="s">
        <v>49</v>
      </c>
      <c r="B36" s="55" t="s">
        <v>34</v>
      </c>
      <c r="C36" s="93" t="s">
        <v>519</v>
      </c>
      <c r="D36" s="94" t="s">
        <v>14</v>
      </c>
      <c r="E36" s="104">
        <v>0.34849999999999998</v>
      </c>
      <c r="F36" s="105"/>
    </row>
    <row r="37" spans="1:6" s="30" customFormat="1" ht="23.25" x14ac:dyDescent="0.4">
      <c r="A37" s="54" t="s">
        <v>50</v>
      </c>
      <c r="B37" s="55" t="s">
        <v>34</v>
      </c>
      <c r="C37" s="93" t="s">
        <v>798</v>
      </c>
      <c r="D37" s="94" t="s">
        <v>14</v>
      </c>
      <c r="E37" s="104">
        <v>6.0000000000000001E-3</v>
      </c>
      <c r="F37" s="105"/>
    </row>
    <row r="38" spans="1:6" s="30" customFormat="1" x14ac:dyDescent="0.4">
      <c r="A38" s="54" t="s">
        <v>51</v>
      </c>
      <c r="B38" s="55" t="s">
        <v>523</v>
      </c>
      <c r="C38" s="93" t="s">
        <v>524</v>
      </c>
      <c r="D38" s="94" t="s">
        <v>992</v>
      </c>
      <c r="E38" s="106">
        <v>1.34</v>
      </c>
      <c r="F38" s="107"/>
    </row>
    <row r="39" spans="1:6" s="30" customFormat="1" x14ac:dyDescent="0.4">
      <c r="A39" s="54" t="s">
        <v>52</v>
      </c>
      <c r="B39" s="55" t="s">
        <v>34</v>
      </c>
      <c r="C39" s="93" t="s">
        <v>529</v>
      </c>
      <c r="D39" s="94" t="s">
        <v>30</v>
      </c>
      <c r="E39" s="108">
        <v>134</v>
      </c>
      <c r="F39" s="109"/>
    </row>
    <row r="40" spans="1:6" s="30" customFormat="1" x14ac:dyDescent="0.4">
      <c r="A40" s="54" t="s">
        <v>53</v>
      </c>
      <c r="B40" s="55" t="s">
        <v>530</v>
      </c>
      <c r="C40" s="93" t="s">
        <v>531</v>
      </c>
      <c r="D40" s="94" t="s">
        <v>992</v>
      </c>
      <c r="E40" s="106">
        <v>0.56999999999999995</v>
      </c>
      <c r="F40" s="107"/>
    </row>
    <row r="41" spans="1:6" s="30" customFormat="1" x14ac:dyDescent="0.4">
      <c r="A41" s="54" t="s">
        <v>54</v>
      </c>
      <c r="B41" s="55" t="s">
        <v>34</v>
      </c>
      <c r="C41" s="93" t="s">
        <v>532</v>
      </c>
      <c r="D41" s="94" t="s">
        <v>30</v>
      </c>
      <c r="E41" s="108">
        <v>57</v>
      </c>
      <c r="F41" s="109"/>
    </row>
    <row r="42" spans="1:6" s="30" customFormat="1" x14ac:dyDescent="0.4">
      <c r="A42" s="54" t="s">
        <v>55</v>
      </c>
      <c r="B42" s="55" t="s">
        <v>533</v>
      </c>
      <c r="C42" s="93" t="s">
        <v>534</v>
      </c>
      <c r="D42" s="94" t="s">
        <v>992</v>
      </c>
      <c r="E42" s="106">
        <v>0.65</v>
      </c>
      <c r="F42" s="107"/>
    </row>
    <row r="43" spans="1:6" s="30" customFormat="1" x14ac:dyDescent="0.4">
      <c r="A43" s="54" t="s">
        <v>56</v>
      </c>
      <c r="B43" s="55" t="s">
        <v>34</v>
      </c>
      <c r="C43" s="93" t="s">
        <v>535</v>
      </c>
      <c r="D43" s="94" t="s">
        <v>30</v>
      </c>
      <c r="E43" s="108">
        <v>65</v>
      </c>
      <c r="F43" s="109"/>
    </row>
    <row r="44" spans="1:6" s="30" customFormat="1" ht="23.25" x14ac:dyDescent="0.4">
      <c r="A44" s="54" t="s">
        <v>57</v>
      </c>
      <c r="B44" s="55" t="s">
        <v>536</v>
      </c>
      <c r="C44" s="93" t="s">
        <v>537</v>
      </c>
      <c r="D44" s="94" t="s">
        <v>991</v>
      </c>
      <c r="E44" s="106">
        <v>2.9000000000000001E-2</v>
      </c>
      <c r="F44" s="107"/>
    </row>
    <row r="45" spans="1:6" s="30" customFormat="1" x14ac:dyDescent="0.4">
      <c r="A45" s="54" t="s">
        <v>58</v>
      </c>
      <c r="B45" s="55" t="s">
        <v>546</v>
      </c>
      <c r="C45" s="93" t="s">
        <v>812</v>
      </c>
      <c r="D45" s="94" t="s">
        <v>991</v>
      </c>
      <c r="E45" s="106">
        <v>5.5E-2</v>
      </c>
      <c r="F45" s="107"/>
    </row>
    <row r="46" spans="1:6" s="30" customFormat="1" ht="23.25" x14ac:dyDescent="0.4">
      <c r="A46" s="54" t="s">
        <v>59</v>
      </c>
      <c r="B46" s="55" t="s">
        <v>34</v>
      </c>
      <c r="C46" s="93" t="s">
        <v>520</v>
      </c>
      <c r="D46" s="94" t="s">
        <v>14</v>
      </c>
      <c r="E46" s="104">
        <v>0.308</v>
      </c>
      <c r="F46" s="105"/>
    </row>
    <row r="47" spans="1:6" s="30" customFormat="1" ht="34.9" x14ac:dyDescent="0.4">
      <c r="A47" s="54" t="s">
        <v>78</v>
      </c>
      <c r="B47" s="55" t="s">
        <v>584</v>
      </c>
      <c r="C47" s="93" t="s">
        <v>585</v>
      </c>
      <c r="D47" s="94" t="s">
        <v>579</v>
      </c>
      <c r="E47" s="106">
        <v>217.512</v>
      </c>
      <c r="F47" s="107"/>
    </row>
    <row r="48" spans="1:6" s="30" customFormat="1" ht="23.25" x14ac:dyDescent="0.4">
      <c r="A48" s="54" t="s">
        <v>79</v>
      </c>
      <c r="B48" s="55" t="s">
        <v>34</v>
      </c>
      <c r="C48" s="93" t="s">
        <v>564</v>
      </c>
      <c r="D48" s="94" t="s">
        <v>14</v>
      </c>
      <c r="E48" s="104">
        <v>0.43</v>
      </c>
      <c r="F48" s="105"/>
    </row>
    <row r="49" spans="1:6" s="30" customFormat="1" ht="23.25" x14ac:dyDescent="0.4">
      <c r="A49" s="54" t="s">
        <v>80</v>
      </c>
      <c r="B49" s="55" t="s">
        <v>34</v>
      </c>
      <c r="C49" s="93" t="s">
        <v>520</v>
      </c>
      <c r="D49" s="94" t="s">
        <v>14</v>
      </c>
      <c r="E49" s="104">
        <v>0.14899999999999999</v>
      </c>
      <c r="F49" s="105"/>
    </row>
    <row r="50" spans="1:6" s="30" customFormat="1" x14ac:dyDescent="0.4">
      <c r="A50" s="54" t="s">
        <v>81</v>
      </c>
      <c r="B50" s="55" t="s">
        <v>546</v>
      </c>
      <c r="C50" s="93" t="s">
        <v>812</v>
      </c>
      <c r="D50" s="94" t="s">
        <v>991</v>
      </c>
      <c r="E50" s="106">
        <v>0.12790000000000001</v>
      </c>
      <c r="F50" s="107"/>
    </row>
    <row r="51" spans="1:6" s="30" customFormat="1" ht="23.25" x14ac:dyDescent="0.4">
      <c r="A51" s="54" t="s">
        <v>82</v>
      </c>
      <c r="B51" s="55" t="s">
        <v>536</v>
      </c>
      <c r="C51" s="93" t="s">
        <v>813</v>
      </c>
      <c r="D51" s="94" t="s">
        <v>991</v>
      </c>
      <c r="E51" s="106">
        <v>2.258</v>
      </c>
      <c r="F51" s="107"/>
    </row>
    <row r="52" spans="1:6" s="30" customFormat="1" ht="23.25" x14ac:dyDescent="0.4">
      <c r="A52" s="54" t="s">
        <v>83</v>
      </c>
      <c r="B52" s="55" t="s">
        <v>34</v>
      </c>
      <c r="C52" s="93" t="s">
        <v>518</v>
      </c>
      <c r="D52" s="94" t="s">
        <v>14</v>
      </c>
      <c r="E52" s="104">
        <v>4.024</v>
      </c>
      <c r="F52" s="105"/>
    </row>
    <row r="53" spans="1:6" s="30" customFormat="1" ht="23.25" x14ac:dyDescent="0.4">
      <c r="A53" s="54" t="s">
        <v>84</v>
      </c>
      <c r="B53" s="55" t="s">
        <v>34</v>
      </c>
      <c r="C53" s="93" t="s">
        <v>559</v>
      </c>
      <c r="D53" s="94" t="s">
        <v>14</v>
      </c>
      <c r="E53" s="104">
        <v>6.1959999999999997</v>
      </c>
      <c r="F53" s="105"/>
    </row>
    <row r="54" spans="1:6" s="30" customFormat="1" ht="23.25" x14ac:dyDescent="0.4">
      <c r="A54" s="54" t="s">
        <v>85</v>
      </c>
      <c r="B54" s="55" t="s">
        <v>34</v>
      </c>
      <c r="C54" s="93" t="s">
        <v>558</v>
      </c>
      <c r="D54" s="94" t="s">
        <v>14</v>
      </c>
      <c r="E54" s="104">
        <v>2.0019999999999998</v>
      </c>
      <c r="F54" s="105"/>
    </row>
    <row r="55" spans="1:6" s="30" customFormat="1" ht="23.25" x14ac:dyDescent="0.4">
      <c r="A55" s="54" t="s">
        <v>86</v>
      </c>
      <c r="B55" s="55" t="s">
        <v>555</v>
      </c>
      <c r="C55" s="93" t="s">
        <v>814</v>
      </c>
      <c r="D55" s="94" t="s">
        <v>991</v>
      </c>
      <c r="E55" s="106">
        <v>4.2039</v>
      </c>
      <c r="F55" s="107"/>
    </row>
    <row r="56" spans="1:6" s="30" customFormat="1" ht="23.25" x14ac:dyDescent="0.4">
      <c r="A56" s="54" t="s">
        <v>87</v>
      </c>
      <c r="B56" s="55" t="s">
        <v>34</v>
      </c>
      <c r="C56" s="93" t="s">
        <v>518</v>
      </c>
      <c r="D56" s="94" t="s">
        <v>14</v>
      </c>
      <c r="E56" s="104">
        <v>20.628</v>
      </c>
      <c r="F56" s="105"/>
    </row>
    <row r="57" spans="1:6" s="30" customFormat="1" ht="23.25" x14ac:dyDescent="0.4">
      <c r="A57" s="54" t="s">
        <v>88</v>
      </c>
      <c r="B57" s="55" t="s">
        <v>34</v>
      </c>
      <c r="C57" s="93" t="s">
        <v>559</v>
      </c>
      <c r="D57" s="94" t="s">
        <v>14</v>
      </c>
      <c r="E57" s="104">
        <v>5.2569999999999997</v>
      </c>
      <c r="F57" s="105"/>
    </row>
    <row r="58" spans="1:6" s="30" customFormat="1" ht="23.25" x14ac:dyDescent="0.4">
      <c r="A58" s="54" t="s">
        <v>89</v>
      </c>
      <c r="B58" s="55" t="s">
        <v>34</v>
      </c>
      <c r="C58" s="93" t="s">
        <v>517</v>
      </c>
      <c r="D58" s="94" t="s">
        <v>14</v>
      </c>
      <c r="E58" s="104">
        <v>1.6419999999999999</v>
      </c>
      <c r="F58" s="105"/>
    </row>
    <row r="59" spans="1:6" s="30" customFormat="1" ht="23.25" x14ac:dyDescent="0.4">
      <c r="A59" s="54" t="s">
        <v>90</v>
      </c>
      <c r="B59" s="55" t="s">
        <v>34</v>
      </c>
      <c r="C59" s="93" t="s">
        <v>558</v>
      </c>
      <c r="D59" s="94" t="s">
        <v>14</v>
      </c>
      <c r="E59" s="104">
        <v>7.3650000000000002</v>
      </c>
      <c r="F59" s="105"/>
    </row>
    <row r="60" spans="1:6" s="30" customFormat="1" x14ac:dyDescent="0.4">
      <c r="A60" s="54" t="s">
        <v>91</v>
      </c>
      <c r="B60" s="55" t="s">
        <v>34</v>
      </c>
      <c r="C60" s="93" t="s">
        <v>815</v>
      </c>
      <c r="D60" s="94" t="s">
        <v>14</v>
      </c>
      <c r="E60" s="104">
        <v>0.112</v>
      </c>
      <c r="F60" s="105"/>
    </row>
    <row r="61" spans="1:6" s="30" customFormat="1" ht="23.25" x14ac:dyDescent="0.4">
      <c r="A61" s="54" t="s">
        <v>92</v>
      </c>
      <c r="B61" s="55" t="s">
        <v>34</v>
      </c>
      <c r="C61" s="93" t="s">
        <v>564</v>
      </c>
      <c r="D61" s="94" t="s">
        <v>14</v>
      </c>
      <c r="E61" s="104">
        <v>1.66</v>
      </c>
      <c r="F61" s="105"/>
    </row>
    <row r="62" spans="1:6" s="30" customFormat="1" x14ac:dyDescent="0.4">
      <c r="A62" s="51"/>
      <c r="B62" s="52"/>
      <c r="C62" s="110" t="s">
        <v>816</v>
      </c>
      <c r="D62" s="110"/>
      <c r="E62" s="52"/>
      <c r="F62" s="88"/>
    </row>
    <row r="63" spans="1:6" s="30" customFormat="1" ht="23.25" x14ac:dyDescent="0.4">
      <c r="A63" s="54" t="s">
        <v>93</v>
      </c>
      <c r="B63" s="55" t="s">
        <v>560</v>
      </c>
      <c r="C63" s="93" t="s">
        <v>561</v>
      </c>
      <c r="D63" s="94" t="s">
        <v>992</v>
      </c>
      <c r="E63" s="106">
        <v>0.46</v>
      </c>
      <c r="F63" s="107"/>
    </row>
    <row r="64" spans="1:6" s="30" customFormat="1" x14ac:dyDescent="0.4">
      <c r="A64" s="54" t="s">
        <v>94</v>
      </c>
      <c r="B64" s="55" t="s">
        <v>34</v>
      </c>
      <c r="C64" s="93" t="s">
        <v>817</v>
      </c>
      <c r="D64" s="94" t="s">
        <v>30</v>
      </c>
      <c r="E64" s="108">
        <v>2</v>
      </c>
      <c r="F64" s="109"/>
    </row>
    <row r="65" spans="1:6" s="30" customFormat="1" x14ac:dyDescent="0.4">
      <c r="A65" s="54" t="s">
        <v>95</v>
      </c>
      <c r="B65" s="55" t="s">
        <v>34</v>
      </c>
      <c r="C65" s="93" t="s">
        <v>818</v>
      </c>
      <c r="D65" s="94" t="s">
        <v>30</v>
      </c>
      <c r="E65" s="108">
        <v>3</v>
      </c>
      <c r="F65" s="109"/>
    </row>
    <row r="66" spans="1:6" s="30" customFormat="1" x14ac:dyDescent="0.4">
      <c r="A66" s="54" t="s">
        <v>96</v>
      </c>
      <c r="B66" s="55" t="s">
        <v>34</v>
      </c>
      <c r="C66" s="93" t="s">
        <v>819</v>
      </c>
      <c r="D66" s="94" t="s">
        <v>30</v>
      </c>
      <c r="E66" s="108">
        <v>9</v>
      </c>
      <c r="F66" s="109"/>
    </row>
    <row r="67" spans="1:6" s="30" customFormat="1" x14ac:dyDescent="0.4">
      <c r="A67" s="54" t="s">
        <v>97</v>
      </c>
      <c r="B67" s="55" t="s">
        <v>34</v>
      </c>
      <c r="C67" s="93" t="s">
        <v>820</v>
      </c>
      <c r="D67" s="94" t="s">
        <v>30</v>
      </c>
      <c r="E67" s="108">
        <v>4</v>
      </c>
      <c r="F67" s="109"/>
    </row>
    <row r="68" spans="1:6" s="30" customFormat="1" x14ac:dyDescent="0.4">
      <c r="A68" s="54" t="s">
        <v>98</v>
      </c>
      <c r="B68" s="55" t="s">
        <v>34</v>
      </c>
      <c r="C68" s="93" t="s">
        <v>821</v>
      </c>
      <c r="D68" s="94" t="s">
        <v>30</v>
      </c>
      <c r="E68" s="108">
        <v>12</v>
      </c>
      <c r="F68" s="109"/>
    </row>
    <row r="69" spans="1:6" s="30" customFormat="1" x14ac:dyDescent="0.4">
      <c r="A69" s="54" t="s">
        <v>99</v>
      </c>
      <c r="B69" s="55" t="s">
        <v>34</v>
      </c>
      <c r="C69" s="93" t="s">
        <v>822</v>
      </c>
      <c r="D69" s="94" t="s">
        <v>30</v>
      </c>
      <c r="E69" s="108">
        <v>16</v>
      </c>
      <c r="F69" s="109"/>
    </row>
    <row r="70" spans="1:6" s="30" customFormat="1" x14ac:dyDescent="0.4">
      <c r="A70" s="54" t="s">
        <v>100</v>
      </c>
      <c r="B70" s="55" t="s">
        <v>546</v>
      </c>
      <c r="C70" s="93" t="s">
        <v>547</v>
      </c>
      <c r="D70" s="94" t="s">
        <v>991</v>
      </c>
      <c r="E70" s="106">
        <v>0.17480000000000001</v>
      </c>
      <c r="F70" s="107"/>
    </row>
    <row r="71" spans="1:6" s="30" customFormat="1" ht="23.25" x14ac:dyDescent="0.4">
      <c r="A71" s="54" t="s">
        <v>101</v>
      </c>
      <c r="B71" s="55" t="s">
        <v>34</v>
      </c>
      <c r="C71" s="93" t="s">
        <v>520</v>
      </c>
      <c r="D71" s="94" t="s">
        <v>14</v>
      </c>
      <c r="E71" s="104">
        <v>0.247</v>
      </c>
      <c r="F71" s="105"/>
    </row>
    <row r="72" spans="1:6" s="30" customFormat="1" ht="23.25" x14ac:dyDescent="0.4">
      <c r="A72" s="54" t="s">
        <v>102</v>
      </c>
      <c r="B72" s="55" t="s">
        <v>34</v>
      </c>
      <c r="C72" s="93" t="s">
        <v>564</v>
      </c>
      <c r="D72" s="94" t="s">
        <v>14</v>
      </c>
      <c r="E72" s="104">
        <v>0.88700000000000001</v>
      </c>
      <c r="F72" s="105"/>
    </row>
    <row r="73" spans="1:6" s="30" customFormat="1" ht="23.25" x14ac:dyDescent="0.4">
      <c r="A73" s="54" t="s">
        <v>103</v>
      </c>
      <c r="B73" s="55" t="s">
        <v>34</v>
      </c>
      <c r="C73" s="93" t="s">
        <v>625</v>
      </c>
      <c r="D73" s="94" t="s">
        <v>14</v>
      </c>
      <c r="E73" s="104">
        <v>2.1600000000000001E-2</v>
      </c>
      <c r="F73" s="105"/>
    </row>
    <row r="74" spans="1:6" s="30" customFormat="1" x14ac:dyDescent="0.4">
      <c r="A74" s="51"/>
      <c r="B74" s="52"/>
      <c r="C74" s="110" t="s">
        <v>823</v>
      </c>
      <c r="D74" s="110"/>
      <c r="E74" s="52"/>
      <c r="F74" s="88"/>
    </row>
    <row r="75" spans="1:6" s="30" customFormat="1" ht="23.25" x14ac:dyDescent="0.4">
      <c r="A75" s="54" t="s">
        <v>104</v>
      </c>
      <c r="B75" s="55" t="s">
        <v>824</v>
      </c>
      <c r="C75" s="93" t="s">
        <v>825</v>
      </c>
      <c r="D75" s="94" t="s">
        <v>991</v>
      </c>
      <c r="E75" s="106">
        <v>0.15240000000000001</v>
      </c>
      <c r="F75" s="107"/>
    </row>
    <row r="76" spans="1:6" s="30" customFormat="1" ht="23.25" x14ac:dyDescent="0.4">
      <c r="A76" s="54" t="s">
        <v>105</v>
      </c>
      <c r="B76" s="55" t="s">
        <v>34</v>
      </c>
      <c r="C76" s="93" t="s">
        <v>564</v>
      </c>
      <c r="D76" s="94" t="s">
        <v>14</v>
      </c>
      <c r="E76" s="104">
        <v>1.1659999999999999</v>
      </c>
      <c r="F76" s="105"/>
    </row>
    <row r="77" spans="1:6" s="30" customFormat="1" ht="23.25" x14ac:dyDescent="0.4">
      <c r="A77" s="54" t="s">
        <v>111</v>
      </c>
      <c r="B77" s="55" t="s">
        <v>34</v>
      </c>
      <c r="C77" s="93" t="s">
        <v>518</v>
      </c>
      <c r="D77" s="94" t="s">
        <v>14</v>
      </c>
      <c r="E77" s="104">
        <v>0.316</v>
      </c>
      <c r="F77" s="105"/>
    </row>
    <row r="78" spans="1:6" s="30" customFormat="1" ht="23.25" x14ac:dyDescent="0.4">
      <c r="A78" s="54" t="s">
        <v>112</v>
      </c>
      <c r="B78" s="55" t="s">
        <v>34</v>
      </c>
      <c r="C78" s="93" t="s">
        <v>558</v>
      </c>
      <c r="D78" s="94" t="s">
        <v>14</v>
      </c>
      <c r="E78" s="104">
        <v>0.182</v>
      </c>
      <c r="F78" s="105"/>
    </row>
    <row r="79" spans="1:6" s="30" customFormat="1" ht="23.25" x14ac:dyDescent="0.4">
      <c r="A79" s="54" t="s">
        <v>113</v>
      </c>
      <c r="B79" s="55" t="s">
        <v>34</v>
      </c>
      <c r="C79" s="93" t="s">
        <v>517</v>
      </c>
      <c r="D79" s="94" t="s">
        <v>14</v>
      </c>
      <c r="E79" s="104">
        <v>0.252</v>
      </c>
      <c r="F79" s="105"/>
    </row>
    <row r="80" spans="1:6" s="30" customFormat="1" x14ac:dyDescent="0.4">
      <c r="A80" s="51"/>
      <c r="B80" s="52"/>
      <c r="C80" s="110" t="s">
        <v>826</v>
      </c>
      <c r="D80" s="110"/>
      <c r="E80" s="52"/>
      <c r="F80" s="88"/>
    </row>
    <row r="81" spans="1:6" s="30" customFormat="1" ht="23.25" x14ac:dyDescent="0.4">
      <c r="A81" s="54" t="s">
        <v>114</v>
      </c>
      <c r="B81" s="55" t="s">
        <v>560</v>
      </c>
      <c r="C81" s="93" t="s">
        <v>561</v>
      </c>
      <c r="D81" s="94" t="s">
        <v>992</v>
      </c>
      <c r="E81" s="106">
        <v>0.92</v>
      </c>
      <c r="F81" s="107"/>
    </row>
    <row r="82" spans="1:6" s="30" customFormat="1" x14ac:dyDescent="0.4">
      <c r="A82" s="54" t="s">
        <v>115</v>
      </c>
      <c r="B82" s="55" t="s">
        <v>34</v>
      </c>
      <c r="C82" s="93" t="s">
        <v>817</v>
      </c>
      <c r="D82" s="94" t="s">
        <v>30</v>
      </c>
      <c r="E82" s="108">
        <v>4</v>
      </c>
      <c r="F82" s="109"/>
    </row>
    <row r="83" spans="1:6" s="30" customFormat="1" x14ac:dyDescent="0.4">
      <c r="A83" s="54" t="s">
        <v>116</v>
      </c>
      <c r="B83" s="55" t="s">
        <v>34</v>
      </c>
      <c r="C83" s="93" t="s">
        <v>818</v>
      </c>
      <c r="D83" s="94" t="s">
        <v>30</v>
      </c>
      <c r="E83" s="108">
        <v>6</v>
      </c>
      <c r="F83" s="109"/>
    </row>
    <row r="84" spans="1:6" s="30" customFormat="1" x14ac:dyDescent="0.4">
      <c r="A84" s="54" t="s">
        <v>117</v>
      </c>
      <c r="B84" s="55" t="s">
        <v>34</v>
      </c>
      <c r="C84" s="93" t="s">
        <v>819</v>
      </c>
      <c r="D84" s="94" t="s">
        <v>30</v>
      </c>
      <c r="E84" s="108">
        <v>20</v>
      </c>
      <c r="F84" s="109"/>
    </row>
    <row r="85" spans="1:6" s="30" customFormat="1" x14ac:dyDescent="0.4">
      <c r="A85" s="54" t="s">
        <v>118</v>
      </c>
      <c r="B85" s="55" t="s">
        <v>34</v>
      </c>
      <c r="C85" s="93" t="s">
        <v>820</v>
      </c>
      <c r="D85" s="94" t="s">
        <v>30</v>
      </c>
      <c r="E85" s="108">
        <v>6</v>
      </c>
      <c r="F85" s="109"/>
    </row>
    <row r="86" spans="1:6" s="30" customFormat="1" x14ac:dyDescent="0.4">
      <c r="A86" s="54" t="s">
        <v>119</v>
      </c>
      <c r="B86" s="55" t="s">
        <v>34</v>
      </c>
      <c r="C86" s="93" t="s">
        <v>821</v>
      </c>
      <c r="D86" s="94" t="s">
        <v>30</v>
      </c>
      <c r="E86" s="108">
        <v>30</v>
      </c>
      <c r="F86" s="109"/>
    </row>
    <row r="87" spans="1:6" s="30" customFormat="1" x14ac:dyDescent="0.4">
      <c r="A87" s="54" t="s">
        <v>120</v>
      </c>
      <c r="B87" s="55" t="s">
        <v>34</v>
      </c>
      <c r="C87" s="93" t="s">
        <v>822</v>
      </c>
      <c r="D87" s="94" t="s">
        <v>30</v>
      </c>
      <c r="E87" s="108">
        <v>26</v>
      </c>
      <c r="F87" s="109"/>
    </row>
    <row r="88" spans="1:6" s="30" customFormat="1" x14ac:dyDescent="0.4">
      <c r="A88" s="54" t="s">
        <v>121</v>
      </c>
      <c r="B88" s="55" t="s">
        <v>546</v>
      </c>
      <c r="C88" s="93" t="s">
        <v>547</v>
      </c>
      <c r="D88" s="94" t="s">
        <v>991</v>
      </c>
      <c r="E88" s="106">
        <v>0.35920000000000002</v>
      </c>
      <c r="F88" s="107"/>
    </row>
    <row r="89" spans="1:6" s="30" customFormat="1" ht="23.25" x14ac:dyDescent="0.4">
      <c r="A89" s="54" t="s">
        <v>122</v>
      </c>
      <c r="B89" s="55" t="s">
        <v>34</v>
      </c>
      <c r="C89" s="93" t="s">
        <v>520</v>
      </c>
      <c r="D89" s="94" t="s">
        <v>14</v>
      </c>
      <c r="E89" s="104">
        <v>0.53400000000000003</v>
      </c>
      <c r="F89" s="105"/>
    </row>
    <row r="90" spans="1:6" s="30" customFormat="1" ht="23.25" x14ac:dyDescent="0.4">
      <c r="A90" s="54" t="s">
        <v>123</v>
      </c>
      <c r="B90" s="55" t="s">
        <v>34</v>
      </c>
      <c r="C90" s="93" t="s">
        <v>564</v>
      </c>
      <c r="D90" s="94" t="s">
        <v>14</v>
      </c>
      <c r="E90" s="104">
        <v>1.8220000000000001</v>
      </c>
      <c r="F90" s="105"/>
    </row>
    <row r="91" spans="1:6" s="30" customFormat="1" ht="23.25" x14ac:dyDescent="0.4">
      <c r="A91" s="54" t="s">
        <v>124</v>
      </c>
      <c r="B91" s="55" t="s">
        <v>34</v>
      </c>
      <c r="C91" s="93" t="s">
        <v>625</v>
      </c>
      <c r="D91" s="94" t="s">
        <v>14</v>
      </c>
      <c r="E91" s="104">
        <v>0.1</v>
      </c>
      <c r="F91" s="105"/>
    </row>
    <row r="92" spans="1:6" s="30" customFormat="1" x14ac:dyDescent="0.4">
      <c r="A92" s="51"/>
      <c r="B92" s="52"/>
      <c r="C92" s="110" t="s">
        <v>823</v>
      </c>
      <c r="D92" s="110"/>
      <c r="E92" s="52"/>
      <c r="F92" s="88"/>
    </row>
    <row r="93" spans="1:6" s="30" customFormat="1" ht="23.25" x14ac:dyDescent="0.4">
      <c r="A93" s="54" t="s">
        <v>125</v>
      </c>
      <c r="B93" s="55" t="s">
        <v>824</v>
      </c>
      <c r="C93" s="93" t="s">
        <v>825</v>
      </c>
      <c r="D93" s="94" t="s">
        <v>991</v>
      </c>
      <c r="E93" s="106">
        <v>0.30480000000000002</v>
      </c>
      <c r="F93" s="107"/>
    </row>
    <row r="94" spans="1:6" s="30" customFormat="1" ht="23.25" x14ac:dyDescent="0.4">
      <c r="A94" s="54" t="s">
        <v>126</v>
      </c>
      <c r="B94" s="55" t="s">
        <v>34</v>
      </c>
      <c r="C94" s="93" t="s">
        <v>564</v>
      </c>
      <c r="D94" s="94" t="s">
        <v>14</v>
      </c>
      <c r="E94" s="104">
        <v>2.3319999999999999</v>
      </c>
      <c r="F94" s="105"/>
    </row>
    <row r="95" spans="1:6" s="30" customFormat="1" ht="23.25" x14ac:dyDescent="0.4">
      <c r="A95" s="54" t="s">
        <v>127</v>
      </c>
      <c r="B95" s="55" t="s">
        <v>34</v>
      </c>
      <c r="C95" s="93" t="s">
        <v>518</v>
      </c>
      <c r="D95" s="94" t="s">
        <v>14</v>
      </c>
      <c r="E95" s="104">
        <v>0.63200000000000001</v>
      </c>
      <c r="F95" s="105"/>
    </row>
    <row r="96" spans="1:6" s="30" customFormat="1" ht="23.25" x14ac:dyDescent="0.4">
      <c r="A96" s="54" t="s">
        <v>128</v>
      </c>
      <c r="B96" s="55" t="s">
        <v>34</v>
      </c>
      <c r="C96" s="93" t="s">
        <v>558</v>
      </c>
      <c r="D96" s="94" t="s">
        <v>14</v>
      </c>
      <c r="E96" s="104">
        <v>0.36399999999999999</v>
      </c>
      <c r="F96" s="105"/>
    </row>
    <row r="97" spans="1:6" s="30" customFormat="1" ht="23.25" x14ac:dyDescent="0.4">
      <c r="A97" s="54" t="s">
        <v>129</v>
      </c>
      <c r="B97" s="55" t="s">
        <v>34</v>
      </c>
      <c r="C97" s="93" t="s">
        <v>517</v>
      </c>
      <c r="D97" s="94" t="s">
        <v>14</v>
      </c>
      <c r="E97" s="104">
        <v>0.504</v>
      </c>
      <c r="F97" s="105"/>
    </row>
    <row r="98" spans="1:6" s="30" customFormat="1" x14ac:dyDescent="0.4">
      <c r="A98" s="51"/>
      <c r="B98" s="52"/>
      <c r="C98" s="110" t="s">
        <v>827</v>
      </c>
      <c r="D98" s="110"/>
      <c r="E98" s="52"/>
      <c r="F98" s="88"/>
    </row>
    <row r="99" spans="1:6" s="30" customFormat="1" ht="23.25" x14ac:dyDescent="0.4">
      <c r="A99" s="54" t="s">
        <v>130</v>
      </c>
      <c r="B99" s="55" t="s">
        <v>560</v>
      </c>
      <c r="C99" s="93" t="s">
        <v>561</v>
      </c>
      <c r="D99" s="94" t="s">
        <v>992</v>
      </c>
      <c r="E99" s="106">
        <v>0.92</v>
      </c>
      <c r="F99" s="107"/>
    </row>
    <row r="100" spans="1:6" s="30" customFormat="1" x14ac:dyDescent="0.4">
      <c r="A100" s="54" t="s">
        <v>131</v>
      </c>
      <c r="B100" s="55" t="s">
        <v>34</v>
      </c>
      <c r="C100" s="93" t="s">
        <v>817</v>
      </c>
      <c r="D100" s="94" t="s">
        <v>30</v>
      </c>
      <c r="E100" s="108">
        <v>4</v>
      </c>
      <c r="F100" s="109"/>
    </row>
    <row r="101" spans="1:6" s="30" customFormat="1" x14ac:dyDescent="0.4">
      <c r="A101" s="54" t="s">
        <v>132</v>
      </c>
      <c r="B101" s="55" t="s">
        <v>34</v>
      </c>
      <c r="C101" s="93" t="s">
        <v>818</v>
      </c>
      <c r="D101" s="94" t="s">
        <v>30</v>
      </c>
      <c r="E101" s="108">
        <v>6</v>
      </c>
      <c r="F101" s="109"/>
    </row>
    <row r="102" spans="1:6" s="30" customFormat="1" x14ac:dyDescent="0.4">
      <c r="A102" s="54" t="s">
        <v>133</v>
      </c>
      <c r="B102" s="55" t="s">
        <v>34</v>
      </c>
      <c r="C102" s="93" t="s">
        <v>819</v>
      </c>
      <c r="D102" s="94" t="s">
        <v>30</v>
      </c>
      <c r="E102" s="108">
        <v>20</v>
      </c>
      <c r="F102" s="109"/>
    </row>
    <row r="103" spans="1:6" s="30" customFormat="1" x14ac:dyDescent="0.4">
      <c r="A103" s="54" t="s">
        <v>134</v>
      </c>
      <c r="B103" s="55" t="s">
        <v>34</v>
      </c>
      <c r="C103" s="93" t="s">
        <v>820</v>
      </c>
      <c r="D103" s="94" t="s">
        <v>30</v>
      </c>
      <c r="E103" s="108">
        <v>6</v>
      </c>
      <c r="F103" s="109"/>
    </row>
    <row r="104" spans="1:6" s="30" customFormat="1" x14ac:dyDescent="0.4">
      <c r="A104" s="54" t="s">
        <v>135</v>
      </c>
      <c r="B104" s="55" t="s">
        <v>34</v>
      </c>
      <c r="C104" s="93" t="s">
        <v>821</v>
      </c>
      <c r="D104" s="94" t="s">
        <v>30</v>
      </c>
      <c r="E104" s="108">
        <v>30</v>
      </c>
      <c r="F104" s="109"/>
    </row>
    <row r="105" spans="1:6" s="30" customFormat="1" x14ac:dyDescent="0.4">
      <c r="A105" s="54" t="s">
        <v>136</v>
      </c>
      <c r="B105" s="55" t="s">
        <v>34</v>
      </c>
      <c r="C105" s="93" t="s">
        <v>822</v>
      </c>
      <c r="D105" s="94" t="s">
        <v>30</v>
      </c>
      <c r="E105" s="108">
        <v>26</v>
      </c>
      <c r="F105" s="109"/>
    </row>
    <row r="106" spans="1:6" s="30" customFormat="1" x14ac:dyDescent="0.4">
      <c r="A106" s="54" t="s">
        <v>138</v>
      </c>
      <c r="B106" s="55" t="s">
        <v>546</v>
      </c>
      <c r="C106" s="93" t="s">
        <v>547</v>
      </c>
      <c r="D106" s="94" t="s">
        <v>991</v>
      </c>
      <c r="E106" s="106">
        <v>0.35920000000000002</v>
      </c>
      <c r="F106" s="107"/>
    </row>
    <row r="107" spans="1:6" s="30" customFormat="1" ht="23.25" x14ac:dyDescent="0.4">
      <c r="A107" s="54" t="s">
        <v>143</v>
      </c>
      <c r="B107" s="55" t="s">
        <v>34</v>
      </c>
      <c r="C107" s="93" t="s">
        <v>520</v>
      </c>
      <c r="D107" s="94" t="s">
        <v>14</v>
      </c>
      <c r="E107" s="104">
        <v>0.53400000000000003</v>
      </c>
      <c r="F107" s="105"/>
    </row>
    <row r="108" spans="1:6" s="30" customFormat="1" ht="23.25" x14ac:dyDescent="0.4">
      <c r="A108" s="54" t="s">
        <v>144</v>
      </c>
      <c r="B108" s="55" t="s">
        <v>34</v>
      </c>
      <c r="C108" s="93" t="s">
        <v>564</v>
      </c>
      <c r="D108" s="94" t="s">
        <v>14</v>
      </c>
      <c r="E108" s="104">
        <v>1.8220000000000001</v>
      </c>
      <c r="F108" s="105"/>
    </row>
    <row r="109" spans="1:6" s="30" customFormat="1" ht="23.25" x14ac:dyDescent="0.4">
      <c r="A109" s="54" t="s">
        <v>145</v>
      </c>
      <c r="B109" s="55" t="s">
        <v>34</v>
      </c>
      <c r="C109" s="93" t="s">
        <v>625</v>
      </c>
      <c r="D109" s="94" t="s">
        <v>14</v>
      </c>
      <c r="E109" s="104">
        <v>0.1</v>
      </c>
      <c r="F109" s="105"/>
    </row>
    <row r="110" spans="1:6" s="30" customFormat="1" x14ac:dyDescent="0.4">
      <c r="A110" s="51"/>
      <c r="B110" s="52"/>
      <c r="C110" s="110" t="s">
        <v>823</v>
      </c>
      <c r="D110" s="110"/>
      <c r="E110" s="52"/>
      <c r="F110" s="88"/>
    </row>
    <row r="111" spans="1:6" s="30" customFormat="1" ht="23.25" x14ac:dyDescent="0.4">
      <c r="A111" s="54" t="s">
        <v>146</v>
      </c>
      <c r="B111" s="55" t="s">
        <v>824</v>
      </c>
      <c r="C111" s="93" t="s">
        <v>825</v>
      </c>
      <c r="D111" s="94" t="s">
        <v>991</v>
      </c>
      <c r="E111" s="106">
        <v>0.30480000000000002</v>
      </c>
      <c r="F111" s="107"/>
    </row>
    <row r="112" spans="1:6" s="30" customFormat="1" ht="23.25" x14ac:dyDescent="0.4">
      <c r="A112" s="54" t="s">
        <v>147</v>
      </c>
      <c r="B112" s="55" t="s">
        <v>34</v>
      </c>
      <c r="C112" s="93" t="s">
        <v>564</v>
      </c>
      <c r="D112" s="94" t="s">
        <v>14</v>
      </c>
      <c r="E112" s="104">
        <v>2.3319999999999999</v>
      </c>
      <c r="F112" s="105"/>
    </row>
    <row r="113" spans="1:6" s="30" customFormat="1" ht="23.25" x14ac:dyDescent="0.4">
      <c r="A113" s="54" t="s">
        <v>148</v>
      </c>
      <c r="B113" s="55" t="s">
        <v>34</v>
      </c>
      <c r="C113" s="93" t="s">
        <v>518</v>
      </c>
      <c r="D113" s="94" t="s">
        <v>14</v>
      </c>
      <c r="E113" s="104">
        <v>0.63200000000000001</v>
      </c>
      <c r="F113" s="105"/>
    </row>
    <row r="114" spans="1:6" s="30" customFormat="1" ht="23.25" x14ac:dyDescent="0.4">
      <c r="A114" s="54" t="s">
        <v>149</v>
      </c>
      <c r="B114" s="55" t="s">
        <v>34</v>
      </c>
      <c r="C114" s="93" t="s">
        <v>558</v>
      </c>
      <c r="D114" s="94" t="s">
        <v>14</v>
      </c>
      <c r="E114" s="104">
        <v>0.36399999999999999</v>
      </c>
      <c r="F114" s="105"/>
    </row>
    <row r="115" spans="1:6" s="30" customFormat="1" ht="23.25" x14ac:dyDescent="0.4">
      <c r="A115" s="54" t="s">
        <v>150</v>
      </c>
      <c r="B115" s="55" t="s">
        <v>34</v>
      </c>
      <c r="C115" s="93" t="s">
        <v>517</v>
      </c>
      <c r="D115" s="94" t="s">
        <v>14</v>
      </c>
      <c r="E115" s="104">
        <v>0.504</v>
      </c>
      <c r="F115" s="105"/>
    </row>
    <row r="116" spans="1:6" s="30" customFormat="1" x14ac:dyDescent="0.4">
      <c r="A116" s="51"/>
      <c r="B116" s="52"/>
      <c r="C116" s="110" t="s">
        <v>828</v>
      </c>
      <c r="D116" s="110"/>
      <c r="E116" s="52"/>
      <c r="F116" s="88"/>
    </row>
    <row r="117" spans="1:6" s="30" customFormat="1" ht="23.25" x14ac:dyDescent="0.4">
      <c r="A117" s="54" t="s">
        <v>151</v>
      </c>
      <c r="B117" s="55" t="s">
        <v>560</v>
      </c>
      <c r="C117" s="93" t="s">
        <v>561</v>
      </c>
      <c r="D117" s="94" t="s">
        <v>992</v>
      </c>
      <c r="E117" s="106">
        <v>1.84</v>
      </c>
      <c r="F117" s="107"/>
    </row>
    <row r="118" spans="1:6" s="30" customFormat="1" x14ac:dyDescent="0.4">
      <c r="A118" s="54" t="s">
        <v>152</v>
      </c>
      <c r="B118" s="55" t="s">
        <v>34</v>
      </c>
      <c r="C118" s="93" t="s">
        <v>817</v>
      </c>
      <c r="D118" s="94" t="s">
        <v>30</v>
      </c>
      <c r="E118" s="108">
        <v>8</v>
      </c>
      <c r="F118" s="109"/>
    </row>
    <row r="119" spans="1:6" s="30" customFormat="1" x14ac:dyDescent="0.4">
      <c r="A119" s="54" t="s">
        <v>153</v>
      </c>
      <c r="B119" s="55" t="s">
        <v>34</v>
      </c>
      <c r="C119" s="93" t="s">
        <v>818</v>
      </c>
      <c r="D119" s="94" t="s">
        <v>30</v>
      </c>
      <c r="E119" s="108">
        <v>12</v>
      </c>
      <c r="F119" s="109"/>
    </row>
    <row r="120" spans="1:6" s="30" customFormat="1" x14ac:dyDescent="0.4">
      <c r="A120" s="54" t="s">
        <v>154</v>
      </c>
      <c r="B120" s="55" t="s">
        <v>34</v>
      </c>
      <c r="C120" s="93" t="s">
        <v>819</v>
      </c>
      <c r="D120" s="94" t="s">
        <v>30</v>
      </c>
      <c r="E120" s="108">
        <v>40</v>
      </c>
      <c r="F120" s="109"/>
    </row>
    <row r="121" spans="1:6" s="30" customFormat="1" x14ac:dyDescent="0.4">
      <c r="A121" s="54" t="s">
        <v>155</v>
      </c>
      <c r="B121" s="55" t="s">
        <v>34</v>
      </c>
      <c r="C121" s="93" t="s">
        <v>820</v>
      </c>
      <c r="D121" s="94" t="s">
        <v>30</v>
      </c>
      <c r="E121" s="108">
        <v>12</v>
      </c>
      <c r="F121" s="109"/>
    </row>
    <row r="122" spans="1:6" s="30" customFormat="1" x14ac:dyDescent="0.4">
      <c r="A122" s="54" t="s">
        <v>156</v>
      </c>
      <c r="B122" s="55" t="s">
        <v>34</v>
      </c>
      <c r="C122" s="93" t="s">
        <v>821</v>
      </c>
      <c r="D122" s="94" t="s">
        <v>30</v>
      </c>
      <c r="E122" s="108">
        <v>60</v>
      </c>
      <c r="F122" s="109"/>
    </row>
    <row r="123" spans="1:6" s="30" customFormat="1" x14ac:dyDescent="0.4">
      <c r="A123" s="54" t="s">
        <v>157</v>
      </c>
      <c r="B123" s="55" t="s">
        <v>34</v>
      </c>
      <c r="C123" s="93" t="s">
        <v>822</v>
      </c>
      <c r="D123" s="94" t="s">
        <v>30</v>
      </c>
      <c r="E123" s="108">
        <v>52</v>
      </c>
      <c r="F123" s="109"/>
    </row>
    <row r="124" spans="1:6" s="30" customFormat="1" x14ac:dyDescent="0.4">
      <c r="A124" s="54" t="s">
        <v>158</v>
      </c>
      <c r="B124" s="55" t="s">
        <v>546</v>
      </c>
      <c r="C124" s="93" t="s">
        <v>547</v>
      </c>
      <c r="D124" s="94" t="s">
        <v>991</v>
      </c>
      <c r="E124" s="106">
        <v>0.71840000000000004</v>
      </c>
      <c r="F124" s="107"/>
    </row>
    <row r="125" spans="1:6" s="30" customFormat="1" ht="23.25" x14ac:dyDescent="0.4">
      <c r="A125" s="54" t="s">
        <v>159</v>
      </c>
      <c r="B125" s="55" t="s">
        <v>34</v>
      </c>
      <c r="C125" s="93" t="s">
        <v>520</v>
      </c>
      <c r="D125" s="94" t="s">
        <v>14</v>
      </c>
      <c r="E125" s="104">
        <v>1.0680000000000001</v>
      </c>
      <c r="F125" s="105"/>
    </row>
    <row r="126" spans="1:6" s="30" customFormat="1" ht="23.25" x14ac:dyDescent="0.4">
      <c r="A126" s="54" t="s">
        <v>160</v>
      </c>
      <c r="B126" s="55" t="s">
        <v>34</v>
      </c>
      <c r="C126" s="93" t="s">
        <v>564</v>
      </c>
      <c r="D126" s="94" t="s">
        <v>14</v>
      </c>
      <c r="E126" s="104">
        <v>3.6440000000000001</v>
      </c>
      <c r="F126" s="105"/>
    </row>
    <row r="127" spans="1:6" s="30" customFormat="1" ht="23.25" x14ac:dyDescent="0.4">
      <c r="A127" s="54" t="s">
        <v>161</v>
      </c>
      <c r="B127" s="55" t="s">
        <v>34</v>
      </c>
      <c r="C127" s="93" t="s">
        <v>625</v>
      </c>
      <c r="D127" s="94" t="s">
        <v>14</v>
      </c>
      <c r="E127" s="104">
        <v>0.2</v>
      </c>
      <c r="F127" s="105"/>
    </row>
    <row r="128" spans="1:6" s="30" customFormat="1" x14ac:dyDescent="0.4">
      <c r="A128" s="51"/>
      <c r="B128" s="52"/>
      <c r="C128" s="110" t="s">
        <v>829</v>
      </c>
      <c r="D128" s="110"/>
      <c r="E128" s="52"/>
      <c r="F128" s="88"/>
    </row>
    <row r="129" spans="1:6" s="30" customFormat="1" ht="23.25" x14ac:dyDescent="0.4">
      <c r="A129" s="54" t="s">
        <v>162</v>
      </c>
      <c r="B129" s="55" t="s">
        <v>824</v>
      </c>
      <c r="C129" s="93" t="s">
        <v>825</v>
      </c>
      <c r="D129" s="94" t="s">
        <v>991</v>
      </c>
      <c r="E129" s="106">
        <v>0.70279999999999998</v>
      </c>
      <c r="F129" s="107"/>
    </row>
    <row r="130" spans="1:6" s="30" customFormat="1" ht="23.25" x14ac:dyDescent="0.4">
      <c r="A130" s="54" t="s">
        <v>163</v>
      </c>
      <c r="B130" s="55" t="s">
        <v>34</v>
      </c>
      <c r="C130" s="93" t="s">
        <v>564</v>
      </c>
      <c r="D130" s="94" t="s">
        <v>14</v>
      </c>
      <c r="E130" s="104">
        <v>4.7439999999999998</v>
      </c>
      <c r="F130" s="105"/>
    </row>
    <row r="131" spans="1:6" s="30" customFormat="1" ht="23.25" x14ac:dyDescent="0.4">
      <c r="A131" s="54" t="s">
        <v>164</v>
      </c>
      <c r="B131" s="55" t="s">
        <v>34</v>
      </c>
      <c r="C131" s="93" t="s">
        <v>518</v>
      </c>
      <c r="D131" s="94" t="s">
        <v>14</v>
      </c>
      <c r="E131" s="104">
        <v>1.264</v>
      </c>
      <c r="F131" s="105"/>
    </row>
    <row r="132" spans="1:6" s="30" customFormat="1" ht="23.25" x14ac:dyDescent="0.4">
      <c r="A132" s="54" t="s">
        <v>165</v>
      </c>
      <c r="B132" s="55" t="s">
        <v>34</v>
      </c>
      <c r="C132" s="93" t="s">
        <v>558</v>
      </c>
      <c r="D132" s="94" t="s">
        <v>14</v>
      </c>
      <c r="E132" s="104">
        <v>0.72799999999999998</v>
      </c>
      <c r="F132" s="105"/>
    </row>
    <row r="133" spans="1:6" s="30" customFormat="1" ht="23.25" x14ac:dyDescent="0.4">
      <c r="A133" s="54" t="s">
        <v>166</v>
      </c>
      <c r="B133" s="55" t="s">
        <v>34</v>
      </c>
      <c r="C133" s="93" t="s">
        <v>517</v>
      </c>
      <c r="D133" s="94" t="s">
        <v>14</v>
      </c>
      <c r="E133" s="104">
        <v>1.008</v>
      </c>
      <c r="F133" s="105"/>
    </row>
    <row r="134" spans="1:6" s="30" customFormat="1" x14ac:dyDescent="0.4">
      <c r="A134" s="51"/>
      <c r="B134" s="52"/>
      <c r="C134" s="110" t="s">
        <v>830</v>
      </c>
      <c r="D134" s="110"/>
      <c r="E134" s="52"/>
      <c r="F134" s="88"/>
    </row>
    <row r="135" spans="1:6" s="30" customFormat="1" ht="23.25" x14ac:dyDescent="0.4">
      <c r="A135" s="54" t="s">
        <v>109</v>
      </c>
      <c r="B135" s="55" t="s">
        <v>560</v>
      </c>
      <c r="C135" s="93" t="s">
        <v>561</v>
      </c>
      <c r="D135" s="94" t="s">
        <v>992</v>
      </c>
      <c r="E135" s="106">
        <v>0.46</v>
      </c>
      <c r="F135" s="107"/>
    </row>
    <row r="136" spans="1:6" s="30" customFormat="1" x14ac:dyDescent="0.4">
      <c r="A136" s="54" t="s">
        <v>167</v>
      </c>
      <c r="B136" s="55" t="s">
        <v>34</v>
      </c>
      <c r="C136" s="93" t="s">
        <v>817</v>
      </c>
      <c r="D136" s="94" t="s">
        <v>30</v>
      </c>
      <c r="E136" s="108">
        <v>2</v>
      </c>
      <c r="F136" s="109"/>
    </row>
    <row r="137" spans="1:6" s="30" customFormat="1" x14ac:dyDescent="0.4">
      <c r="A137" s="54" t="s">
        <v>168</v>
      </c>
      <c r="B137" s="55" t="s">
        <v>34</v>
      </c>
      <c r="C137" s="93" t="s">
        <v>818</v>
      </c>
      <c r="D137" s="94" t="s">
        <v>30</v>
      </c>
      <c r="E137" s="108">
        <v>3</v>
      </c>
      <c r="F137" s="109"/>
    </row>
    <row r="138" spans="1:6" s="30" customFormat="1" x14ac:dyDescent="0.4">
      <c r="A138" s="54" t="s">
        <v>169</v>
      </c>
      <c r="B138" s="55" t="s">
        <v>34</v>
      </c>
      <c r="C138" s="93" t="s">
        <v>819</v>
      </c>
      <c r="D138" s="94" t="s">
        <v>30</v>
      </c>
      <c r="E138" s="108">
        <v>10</v>
      </c>
      <c r="F138" s="109"/>
    </row>
    <row r="139" spans="1:6" s="30" customFormat="1" x14ac:dyDescent="0.4">
      <c r="A139" s="54" t="s">
        <v>170</v>
      </c>
      <c r="B139" s="55" t="s">
        <v>34</v>
      </c>
      <c r="C139" s="93" t="s">
        <v>820</v>
      </c>
      <c r="D139" s="94" t="s">
        <v>30</v>
      </c>
      <c r="E139" s="108">
        <v>3</v>
      </c>
      <c r="F139" s="109"/>
    </row>
    <row r="140" spans="1:6" s="30" customFormat="1" x14ac:dyDescent="0.4">
      <c r="A140" s="54" t="s">
        <v>171</v>
      </c>
      <c r="B140" s="55" t="s">
        <v>34</v>
      </c>
      <c r="C140" s="93" t="s">
        <v>821</v>
      </c>
      <c r="D140" s="94" t="s">
        <v>30</v>
      </c>
      <c r="E140" s="108">
        <v>15</v>
      </c>
      <c r="F140" s="109"/>
    </row>
    <row r="141" spans="1:6" s="30" customFormat="1" x14ac:dyDescent="0.4">
      <c r="A141" s="54" t="s">
        <v>172</v>
      </c>
      <c r="B141" s="55" t="s">
        <v>34</v>
      </c>
      <c r="C141" s="93" t="s">
        <v>822</v>
      </c>
      <c r="D141" s="94" t="s">
        <v>30</v>
      </c>
      <c r="E141" s="108">
        <v>13</v>
      </c>
      <c r="F141" s="109"/>
    </row>
    <row r="142" spans="1:6" s="30" customFormat="1" x14ac:dyDescent="0.4">
      <c r="A142" s="54" t="s">
        <v>173</v>
      </c>
      <c r="B142" s="55" t="s">
        <v>546</v>
      </c>
      <c r="C142" s="93" t="s">
        <v>547</v>
      </c>
      <c r="D142" s="94" t="s">
        <v>991</v>
      </c>
      <c r="E142" s="106">
        <v>0.17960000000000001</v>
      </c>
      <c r="F142" s="107"/>
    </row>
    <row r="143" spans="1:6" s="30" customFormat="1" ht="23.25" x14ac:dyDescent="0.4">
      <c r="A143" s="54" t="s">
        <v>174</v>
      </c>
      <c r="B143" s="55" t="s">
        <v>34</v>
      </c>
      <c r="C143" s="93" t="s">
        <v>520</v>
      </c>
      <c r="D143" s="94" t="s">
        <v>14</v>
      </c>
      <c r="E143" s="104">
        <v>0.26700000000000002</v>
      </c>
      <c r="F143" s="105"/>
    </row>
    <row r="144" spans="1:6" s="30" customFormat="1" ht="23.25" x14ac:dyDescent="0.4">
      <c r="A144" s="54" t="s">
        <v>175</v>
      </c>
      <c r="B144" s="55" t="s">
        <v>34</v>
      </c>
      <c r="C144" s="93" t="s">
        <v>564</v>
      </c>
      <c r="D144" s="94" t="s">
        <v>14</v>
      </c>
      <c r="E144" s="104">
        <v>0.91100000000000003</v>
      </c>
      <c r="F144" s="105"/>
    </row>
    <row r="145" spans="1:6" s="30" customFormat="1" ht="23.25" x14ac:dyDescent="0.4">
      <c r="A145" s="54" t="s">
        <v>176</v>
      </c>
      <c r="B145" s="55" t="s">
        <v>34</v>
      </c>
      <c r="C145" s="93" t="s">
        <v>625</v>
      </c>
      <c r="D145" s="94" t="s">
        <v>14</v>
      </c>
      <c r="E145" s="104">
        <v>0.05</v>
      </c>
      <c r="F145" s="105"/>
    </row>
    <row r="146" spans="1:6" s="30" customFormat="1" x14ac:dyDescent="0.4">
      <c r="A146" s="51"/>
      <c r="B146" s="52"/>
      <c r="C146" s="110" t="s">
        <v>829</v>
      </c>
      <c r="D146" s="110"/>
      <c r="E146" s="52"/>
      <c r="F146" s="88"/>
    </row>
    <row r="147" spans="1:6" s="30" customFormat="1" ht="23.25" x14ac:dyDescent="0.4">
      <c r="A147" s="54" t="s">
        <v>177</v>
      </c>
      <c r="B147" s="55" t="s">
        <v>824</v>
      </c>
      <c r="C147" s="93" t="s">
        <v>825</v>
      </c>
      <c r="D147" s="94" t="s">
        <v>991</v>
      </c>
      <c r="E147" s="106">
        <v>0.2026</v>
      </c>
      <c r="F147" s="107"/>
    </row>
    <row r="148" spans="1:6" s="30" customFormat="1" ht="23.25" x14ac:dyDescent="0.4">
      <c r="A148" s="54" t="s">
        <v>178</v>
      </c>
      <c r="B148" s="55" t="s">
        <v>34</v>
      </c>
      <c r="C148" s="93" t="s">
        <v>564</v>
      </c>
      <c r="D148" s="94" t="s">
        <v>14</v>
      </c>
      <c r="E148" s="104">
        <v>1.8129999999999999</v>
      </c>
      <c r="F148" s="105"/>
    </row>
    <row r="149" spans="1:6" s="30" customFormat="1" ht="23.25" x14ac:dyDescent="0.4">
      <c r="A149" s="54" t="s">
        <v>179</v>
      </c>
      <c r="B149" s="55" t="s">
        <v>34</v>
      </c>
      <c r="C149" s="93" t="s">
        <v>518</v>
      </c>
      <c r="D149" s="94" t="s">
        <v>14</v>
      </c>
      <c r="E149" s="104">
        <v>0.433</v>
      </c>
      <c r="F149" s="105"/>
    </row>
    <row r="150" spans="1:6" s="30" customFormat="1" ht="23.25" x14ac:dyDescent="0.4">
      <c r="A150" s="54" t="s">
        <v>180</v>
      </c>
      <c r="B150" s="55" t="s">
        <v>34</v>
      </c>
      <c r="C150" s="93" t="s">
        <v>558</v>
      </c>
      <c r="D150" s="94" t="s">
        <v>14</v>
      </c>
      <c r="E150" s="104">
        <v>0.223</v>
      </c>
      <c r="F150" s="105"/>
    </row>
    <row r="151" spans="1:6" s="30" customFormat="1" ht="23.25" x14ac:dyDescent="0.4">
      <c r="A151" s="54" t="s">
        <v>181</v>
      </c>
      <c r="B151" s="55" t="s">
        <v>34</v>
      </c>
      <c r="C151" s="93" t="s">
        <v>517</v>
      </c>
      <c r="D151" s="94" t="s">
        <v>14</v>
      </c>
      <c r="E151" s="104">
        <v>0.252</v>
      </c>
      <c r="F151" s="105"/>
    </row>
    <row r="152" spans="1:6" s="30" customFormat="1" ht="34.9" x14ac:dyDescent="0.4">
      <c r="A152" s="54" t="s">
        <v>182</v>
      </c>
      <c r="B152" s="55" t="s">
        <v>831</v>
      </c>
      <c r="C152" s="93" t="s">
        <v>832</v>
      </c>
      <c r="D152" s="94" t="s">
        <v>309</v>
      </c>
      <c r="E152" s="106">
        <v>3.4000000000000002E-2</v>
      </c>
      <c r="F152" s="107"/>
    </row>
    <row r="153" spans="1:6" s="30" customFormat="1" x14ac:dyDescent="0.4">
      <c r="A153" s="54" t="s">
        <v>183</v>
      </c>
      <c r="B153" s="55" t="s">
        <v>34</v>
      </c>
      <c r="C153" s="93" t="s">
        <v>833</v>
      </c>
      <c r="D153" s="94" t="s">
        <v>14</v>
      </c>
      <c r="E153" s="104">
        <v>3.4000000000000002E-2</v>
      </c>
      <c r="F153" s="105"/>
    </row>
    <row r="154" spans="1:6" s="30" customFormat="1" x14ac:dyDescent="0.4">
      <c r="A154" s="51"/>
      <c r="B154" s="52"/>
      <c r="C154" s="110" t="s">
        <v>834</v>
      </c>
      <c r="D154" s="110"/>
      <c r="E154" s="52"/>
      <c r="F154" s="88"/>
    </row>
    <row r="155" spans="1:6" s="30" customFormat="1" ht="23.25" x14ac:dyDescent="0.4">
      <c r="A155" s="54" t="s">
        <v>184</v>
      </c>
      <c r="B155" s="55" t="s">
        <v>560</v>
      </c>
      <c r="C155" s="93" t="s">
        <v>561</v>
      </c>
      <c r="D155" s="94" t="s">
        <v>992</v>
      </c>
      <c r="E155" s="106">
        <v>0.05</v>
      </c>
      <c r="F155" s="107"/>
    </row>
    <row r="156" spans="1:6" s="30" customFormat="1" x14ac:dyDescent="0.4">
      <c r="A156" s="54" t="s">
        <v>185</v>
      </c>
      <c r="B156" s="55" t="s">
        <v>34</v>
      </c>
      <c r="C156" s="93" t="s">
        <v>835</v>
      </c>
      <c r="D156" s="94" t="s">
        <v>30</v>
      </c>
      <c r="E156" s="108">
        <v>2</v>
      </c>
      <c r="F156" s="109"/>
    </row>
    <row r="157" spans="1:6" s="30" customFormat="1" x14ac:dyDescent="0.4">
      <c r="A157" s="54" t="s">
        <v>186</v>
      </c>
      <c r="B157" s="55" t="s">
        <v>34</v>
      </c>
      <c r="C157" s="93" t="s">
        <v>836</v>
      </c>
      <c r="D157" s="94" t="s">
        <v>30</v>
      </c>
      <c r="E157" s="108">
        <v>3</v>
      </c>
      <c r="F157" s="109"/>
    </row>
    <row r="158" spans="1:6" s="30" customFormat="1" x14ac:dyDescent="0.4">
      <c r="A158" s="54" t="s">
        <v>187</v>
      </c>
      <c r="B158" s="55" t="s">
        <v>546</v>
      </c>
      <c r="C158" s="93" t="s">
        <v>547</v>
      </c>
      <c r="D158" s="94" t="s">
        <v>991</v>
      </c>
      <c r="E158" s="106">
        <v>1.9E-2</v>
      </c>
      <c r="F158" s="107"/>
    </row>
    <row r="159" spans="1:6" s="30" customFormat="1" ht="23.25" x14ac:dyDescent="0.4">
      <c r="A159" s="54" t="s">
        <v>188</v>
      </c>
      <c r="B159" s="55" t="s">
        <v>34</v>
      </c>
      <c r="C159" s="93" t="s">
        <v>520</v>
      </c>
      <c r="D159" s="94" t="s">
        <v>14</v>
      </c>
      <c r="E159" s="104">
        <v>2.266E-2</v>
      </c>
      <c r="F159" s="105"/>
    </row>
    <row r="160" spans="1:6" s="30" customFormat="1" ht="23.25" x14ac:dyDescent="0.4">
      <c r="A160" s="54" t="s">
        <v>189</v>
      </c>
      <c r="B160" s="55" t="s">
        <v>34</v>
      </c>
      <c r="C160" s="93" t="s">
        <v>564</v>
      </c>
      <c r="D160" s="94" t="s">
        <v>14</v>
      </c>
      <c r="E160" s="104">
        <v>8.5250000000000006E-2</v>
      </c>
      <c r="F160" s="105"/>
    </row>
    <row r="161" spans="1:6" s="30" customFormat="1" x14ac:dyDescent="0.4">
      <c r="A161" s="51"/>
      <c r="B161" s="52"/>
      <c r="C161" s="110" t="s">
        <v>607</v>
      </c>
      <c r="D161" s="110"/>
      <c r="E161" s="52"/>
      <c r="F161" s="88"/>
    </row>
    <row r="162" spans="1:6" s="30" customFormat="1" ht="23.25" x14ac:dyDescent="0.4">
      <c r="A162" s="54" t="s">
        <v>190</v>
      </c>
      <c r="B162" s="55" t="s">
        <v>608</v>
      </c>
      <c r="C162" s="93" t="s">
        <v>609</v>
      </c>
      <c r="D162" s="94" t="s">
        <v>991</v>
      </c>
      <c r="E162" s="106">
        <v>0.69750000000000001</v>
      </c>
      <c r="F162" s="107"/>
    </row>
    <row r="163" spans="1:6" s="30" customFormat="1" ht="23.25" x14ac:dyDescent="0.4">
      <c r="A163" s="54" t="s">
        <v>191</v>
      </c>
      <c r="B163" s="55" t="s">
        <v>34</v>
      </c>
      <c r="C163" s="93" t="s">
        <v>505</v>
      </c>
      <c r="D163" s="94" t="s">
        <v>14</v>
      </c>
      <c r="E163" s="104">
        <v>5.4450000000000003</v>
      </c>
      <c r="F163" s="105"/>
    </row>
    <row r="164" spans="1:6" s="30" customFormat="1" ht="23.25" x14ac:dyDescent="0.4">
      <c r="A164" s="54" t="s">
        <v>192</v>
      </c>
      <c r="B164" s="55" t="s">
        <v>34</v>
      </c>
      <c r="C164" s="93" t="s">
        <v>558</v>
      </c>
      <c r="D164" s="94" t="s">
        <v>14</v>
      </c>
      <c r="E164" s="104">
        <v>5.8999999999999997E-2</v>
      </c>
      <c r="F164" s="105"/>
    </row>
    <row r="165" spans="1:6" s="30" customFormat="1" x14ac:dyDescent="0.4">
      <c r="A165" s="51"/>
      <c r="B165" s="52"/>
      <c r="C165" s="110" t="s">
        <v>791</v>
      </c>
      <c r="D165" s="110"/>
      <c r="E165" s="52"/>
      <c r="F165" s="88"/>
    </row>
    <row r="166" spans="1:6" s="30" customFormat="1" ht="23.25" x14ac:dyDescent="0.4">
      <c r="A166" s="54" t="s">
        <v>193</v>
      </c>
      <c r="B166" s="55" t="s">
        <v>608</v>
      </c>
      <c r="C166" s="93" t="s">
        <v>609</v>
      </c>
      <c r="D166" s="94" t="s">
        <v>991</v>
      </c>
      <c r="E166" s="106">
        <v>0.29060000000000002</v>
      </c>
      <c r="F166" s="107"/>
    </row>
    <row r="167" spans="1:6" s="30" customFormat="1" ht="23.25" x14ac:dyDescent="0.4">
      <c r="A167" s="54" t="s">
        <v>194</v>
      </c>
      <c r="B167" s="55" t="s">
        <v>34</v>
      </c>
      <c r="C167" s="93" t="s">
        <v>505</v>
      </c>
      <c r="D167" s="94" t="s">
        <v>14</v>
      </c>
      <c r="E167" s="104">
        <v>4.6349999999999998</v>
      </c>
      <c r="F167" s="105"/>
    </row>
    <row r="168" spans="1:6" s="30" customFormat="1" ht="23.25" x14ac:dyDescent="0.4">
      <c r="A168" s="54" t="s">
        <v>195</v>
      </c>
      <c r="B168" s="55" t="s">
        <v>34</v>
      </c>
      <c r="C168" s="93" t="s">
        <v>558</v>
      </c>
      <c r="D168" s="94" t="s">
        <v>14</v>
      </c>
      <c r="E168" s="104">
        <v>5.8999999999999997E-2</v>
      </c>
      <c r="F168" s="105"/>
    </row>
    <row r="169" spans="1:6" s="30" customFormat="1" x14ac:dyDescent="0.4">
      <c r="A169" s="51"/>
      <c r="B169" s="52"/>
      <c r="C169" s="110" t="s">
        <v>792</v>
      </c>
      <c r="D169" s="110"/>
      <c r="E169" s="52"/>
      <c r="F169" s="88"/>
    </row>
    <row r="170" spans="1:6" s="30" customFormat="1" ht="23.25" x14ac:dyDescent="0.4">
      <c r="A170" s="54" t="s">
        <v>196</v>
      </c>
      <c r="B170" s="55" t="s">
        <v>608</v>
      </c>
      <c r="C170" s="93" t="s">
        <v>609</v>
      </c>
      <c r="D170" s="94" t="s">
        <v>991</v>
      </c>
      <c r="E170" s="106">
        <v>0.2177</v>
      </c>
      <c r="F170" s="107"/>
    </row>
    <row r="171" spans="1:6" s="30" customFormat="1" ht="23.25" x14ac:dyDescent="0.4">
      <c r="A171" s="54" t="s">
        <v>197</v>
      </c>
      <c r="B171" s="55" t="s">
        <v>34</v>
      </c>
      <c r="C171" s="93" t="s">
        <v>505</v>
      </c>
      <c r="D171" s="94" t="s">
        <v>14</v>
      </c>
      <c r="E171" s="104">
        <v>3.6030000000000002</v>
      </c>
      <c r="F171" s="105"/>
    </row>
    <row r="172" spans="1:6" s="30" customFormat="1" ht="23.25" x14ac:dyDescent="0.4">
      <c r="A172" s="54" t="s">
        <v>198</v>
      </c>
      <c r="B172" s="55" t="s">
        <v>34</v>
      </c>
      <c r="C172" s="93" t="s">
        <v>558</v>
      </c>
      <c r="D172" s="94" t="s">
        <v>14</v>
      </c>
      <c r="E172" s="104">
        <v>6.8999999999999999E-3</v>
      </c>
      <c r="F172" s="105"/>
    </row>
    <row r="173" spans="1:6" s="30" customFormat="1" ht="23.25" x14ac:dyDescent="0.4">
      <c r="A173" s="54" t="s">
        <v>199</v>
      </c>
      <c r="B173" s="55" t="s">
        <v>34</v>
      </c>
      <c r="C173" s="93" t="s">
        <v>518</v>
      </c>
      <c r="D173" s="94" t="s">
        <v>14</v>
      </c>
      <c r="E173" s="104">
        <v>1.33</v>
      </c>
      <c r="F173" s="105"/>
    </row>
    <row r="174" spans="1:6" s="30" customFormat="1" x14ac:dyDescent="0.4">
      <c r="A174" s="51"/>
      <c r="B174" s="52"/>
      <c r="C174" s="110" t="s">
        <v>793</v>
      </c>
      <c r="D174" s="110"/>
      <c r="E174" s="52"/>
      <c r="F174" s="88"/>
    </row>
    <row r="175" spans="1:6" s="30" customFormat="1" ht="23.25" x14ac:dyDescent="0.4">
      <c r="A175" s="54" t="s">
        <v>200</v>
      </c>
      <c r="B175" s="55" t="s">
        <v>608</v>
      </c>
      <c r="C175" s="93" t="s">
        <v>609</v>
      </c>
      <c r="D175" s="94" t="s">
        <v>991</v>
      </c>
      <c r="E175" s="106">
        <v>0.20330000000000001</v>
      </c>
      <c r="F175" s="107"/>
    </row>
    <row r="176" spans="1:6" s="30" customFormat="1" ht="23.25" x14ac:dyDescent="0.4">
      <c r="A176" s="54" t="s">
        <v>201</v>
      </c>
      <c r="B176" s="55" t="s">
        <v>34</v>
      </c>
      <c r="C176" s="93" t="s">
        <v>505</v>
      </c>
      <c r="D176" s="94" t="s">
        <v>14</v>
      </c>
      <c r="E176" s="104">
        <v>3.2669999999999999</v>
      </c>
      <c r="F176" s="105"/>
    </row>
    <row r="177" spans="1:6" s="30" customFormat="1" ht="23.25" x14ac:dyDescent="0.4">
      <c r="A177" s="54" t="s">
        <v>202</v>
      </c>
      <c r="B177" s="55" t="s">
        <v>34</v>
      </c>
      <c r="C177" s="93" t="s">
        <v>558</v>
      </c>
      <c r="D177" s="94" t="s">
        <v>14</v>
      </c>
      <c r="E177" s="104">
        <v>5.8999999999999997E-2</v>
      </c>
      <c r="F177" s="105"/>
    </row>
    <row r="178" spans="1:6" s="30" customFormat="1" ht="23.25" x14ac:dyDescent="0.4">
      <c r="A178" s="54" t="s">
        <v>203</v>
      </c>
      <c r="B178" s="55" t="s">
        <v>34</v>
      </c>
      <c r="C178" s="93" t="s">
        <v>518</v>
      </c>
      <c r="D178" s="94" t="s">
        <v>14</v>
      </c>
      <c r="E178" s="104">
        <v>2.83</v>
      </c>
      <c r="F178" s="105"/>
    </row>
    <row r="179" spans="1:6" s="30" customFormat="1" x14ac:dyDescent="0.4">
      <c r="A179" s="51"/>
      <c r="B179" s="52"/>
      <c r="C179" s="110" t="s">
        <v>794</v>
      </c>
      <c r="D179" s="110"/>
      <c r="E179" s="52"/>
      <c r="F179" s="88"/>
    </row>
    <row r="180" spans="1:6" s="30" customFormat="1" ht="23.25" x14ac:dyDescent="0.4">
      <c r="A180" s="54" t="s">
        <v>204</v>
      </c>
      <c r="B180" s="55" t="s">
        <v>608</v>
      </c>
      <c r="C180" s="93" t="s">
        <v>609</v>
      </c>
      <c r="D180" s="94" t="s">
        <v>991</v>
      </c>
      <c r="E180" s="106">
        <v>0.20330000000000001</v>
      </c>
      <c r="F180" s="107"/>
    </row>
    <row r="181" spans="1:6" s="30" customFormat="1" ht="23.25" x14ac:dyDescent="0.4">
      <c r="A181" s="54" t="s">
        <v>140</v>
      </c>
      <c r="B181" s="55" t="s">
        <v>34</v>
      </c>
      <c r="C181" s="93" t="s">
        <v>505</v>
      </c>
      <c r="D181" s="94" t="s">
        <v>14</v>
      </c>
      <c r="E181" s="104">
        <v>3.2669999999999999</v>
      </c>
      <c r="F181" s="105"/>
    </row>
    <row r="182" spans="1:6" s="30" customFormat="1" ht="23.25" x14ac:dyDescent="0.4">
      <c r="A182" s="54" t="s">
        <v>205</v>
      </c>
      <c r="B182" s="55" t="s">
        <v>34</v>
      </c>
      <c r="C182" s="93" t="s">
        <v>558</v>
      </c>
      <c r="D182" s="94" t="s">
        <v>14</v>
      </c>
      <c r="E182" s="104">
        <v>5.8999999999999997E-2</v>
      </c>
      <c r="F182" s="105"/>
    </row>
    <row r="183" spans="1:6" s="30" customFormat="1" ht="23.25" x14ac:dyDescent="0.4">
      <c r="A183" s="54" t="s">
        <v>206</v>
      </c>
      <c r="B183" s="55" t="s">
        <v>34</v>
      </c>
      <c r="C183" s="93" t="s">
        <v>518</v>
      </c>
      <c r="D183" s="94" t="s">
        <v>14</v>
      </c>
      <c r="E183" s="104">
        <v>2.83</v>
      </c>
      <c r="F183" s="105"/>
    </row>
    <row r="184" spans="1:6" s="30" customFormat="1" x14ac:dyDescent="0.4">
      <c r="A184" s="51"/>
      <c r="B184" s="52"/>
      <c r="C184" s="110" t="s">
        <v>692</v>
      </c>
      <c r="D184" s="110"/>
      <c r="E184" s="52"/>
      <c r="F184" s="88"/>
    </row>
    <row r="185" spans="1:6" s="30" customFormat="1" ht="23.25" x14ac:dyDescent="0.4">
      <c r="A185" s="54" t="s">
        <v>207</v>
      </c>
      <c r="B185" s="55" t="s">
        <v>578</v>
      </c>
      <c r="C185" s="93" t="s">
        <v>837</v>
      </c>
      <c r="D185" s="94" t="s">
        <v>579</v>
      </c>
      <c r="E185" s="106">
        <v>511.92</v>
      </c>
      <c r="F185" s="107"/>
    </row>
    <row r="186" spans="1:6" s="30" customFormat="1" ht="23.25" x14ac:dyDescent="0.4">
      <c r="A186" s="54" t="s">
        <v>208</v>
      </c>
      <c r="B186" s="55" t="s">
        <v>578</v>
      </c>
      <c r="C186" s="93" t="s">
        <v>838</v>
      </c>
      <c r="D186" s="94" t="s">
        <v>579</v>
      </c>
      <c r="E186" s="106">
        <v>432.43</v>
      </c>
      <c r="F186" s="107"/>
    </row>
    <row r="187" spans="1:6" s="30" customFormat="1" x14ac:dyDescent="0.4">
      <c r="A187" s="54" t="s">
        <v>209</v>
      </c>
      <c r="B187" s="55" t="s">
        <v>575</v>
      </c>
      <c r="C187" s="93" t="s">
        <v>576</v>
      </c>
      <c r="D187" s="94" t="s">
        <v>572</v>
      </c>
      <c r="E187" s="106">
        <v>18.440999999999999</v>
      </c>
      <c r="F187" s="107"/>
    </row>
    <row r="188" spans="1:6" s="30" customFormat="1" x14ac:dyDescent="0.4">
      <c r="A188" s="51"/>
      <c r="B188" s="52"/>
      <c r="C188" s="110" t="s">
        <v>839</v>
      </c>
      <c r="D188" s="110"/>
      <c r="E188" s="52"/>
      <c r="F188" s="88"/>
    </row>
    <row r="189" spans="1:6" s="30" customFormat="1" ht="34.9" x14ac:dyDescent="0.4">
      <c r="A189" s="54" t="s">
        <v>210</v>
      </c>
      <c r="B189" s="55" t="s">
        <v>451</v>
      </c>
      <c r="C189" s="93" t="s">
        <v>581</v>
      </c>
      <c r="D189" s="94" t="s">
        <v>309</v>
      </c>
      <c r="E189" s="106">
        <v>8.9939999999999998</v>
      </c>
      <c r="F189" s="107"/>
    </row>
    <row r="190" spans="1:6" s="30" customFormat="1" x14ac:dyDescent="0.4">
      <c r="A190" s="54" t="s">
        <v>211</v>
      </c>
      <c r="B190" s="55" t="s">
        <v>34</v>
      </c>
      <c r="C190" s="93" t="s">
        <v>840</v>
      </c>
      <c r="D190" s="94" t="s">
        <v>14</v>
      </c>
      <c r="E190" s="104">
        <v>7.5990000000000002</v>
      </c>
      <c r="F190" s="105"/>
    </row>
    <row r="191" spans="1:6" s="30" customFormat="1" x14ac:dyDescent="0.4">
      <c r="A191" s="54" t="s">
        <v>212</v>
      </c>
      <c r="B191" s="55" t="s">
        <v>34</v>
      </c>
      <c r="C191" s="93" t="s">
        <v>841</v>
      </c>
      <c r="D191" s="94" t="s">
        <v>14</v>
      </c>
      <c r="E191" s="104">
        <v>0.33100000000000002</v>
      </c>
      <c r="F191" s="105"/>
    </row>
    <row r="192" spans="1:6" s="30" customFormat="1" x14ac:dyDescent="0.4">
      <c r="A192" s="54" t="s">
        <v>213</v>
      </c>
      <c r="B192" s="55" t="s">
        <v>34</v>
      </c>
      <c r="C192" s="93" t="s">
        <v>589</v>
      </c>
      <c r="D192" s="94" t="s">
        <v>14</v>
      </c>
      <c r="E192" s="104">
        <v>1.0640000000000001</v>
      </c>
      <c r="F192" s="105"/>
    </row>
    <row r="193" spans="1:6" s="30" customFormat="1" x14ac:dyDescent="0.4">
      <c r="A193" s="51"/>
      <c r="B193" s="52"/>
      <c r="C193" s="110" t="s">
        <v>842</v>
      </c>
      <c r="D193" s="110"/>
      <c r="E193" s="52"/>
      <c r="F193" s="88"/>
    </row>
    <row r="194" spans="1:6" s="30" customFormat="1" ht="34.9" x14ac:dyDescent="0.4">
      <c r="A194" s="54" t="s">
        <v>214</v>
      </c>
      <c r="B194" s="55" t="s">
        <v>451</v>
      </c>
      <c r="C194" s="93" t="s">
        <v>581</v>
      </c>
      <c r="D194" s="94" t="s">
        <v>309</v>
      </c>
      <c r="E194" s="106">
        <v>1.4550000000000001</v>
      </c>
      <c r="F194" s="107"/>
    </row>
    <row r="195" spans="1:6" s="30" customFormat="1" x14ac:dyDescent="0.4">
      <c r="A195" s="54" t="s">
        <v>215</v>
      </c>
      <c r="B195" s="55" t="s">
        <v>34</v>
      </c>
      <c r="C195" s="93" t="s">
        <v>840</v>
      </c>
      <c r="D195" s="94" t="s">
        <v>14</v>
      </c>
      <c r="E195" s="104">
        <v>1.254</v>
      </c>
      <c r="F195" s="105"/>
    </row>
    <row r="196" spans="1:6" s="30" customFormat="1" x14ac:dyDescent="0.4">
      <c r="A196" s="54" t="s">
        <v>216</v>
      </c>
      <c r="B196" s="55" t="s">
        <v>34</v>
      </c>
      <c r="C196" s="93" t="s">
        <v>841</v>
      </c>
      <c r="D196" s="94" t="s">
        <v>14</v>
      </c>
      <c r="E196" s="104">
        <v>4.8000000000000001E-2</v>
      </c>
      <c r="F196" s="105"/>
    </row>
    <row r="197" spans="1:6" s="30" customFormat="1" x14ac:dyDescent="0.4">
      <c r="A197" s="54" t="s">
        <v>217</v>
      </c>
      <c r="B197" s="55" t="s">
        <v>34</v>
      </c>
      <c r="C197" s="93" t="s">
        <v>589</v>
      </c>
      <c r="D197" s="94" t="s">
        <v>14</v>
      </c>
      <c r="E197" s="104">
        <v>0.153</v>
      </c>
      <c r="F197" s="105"/>
    </row>
    <row r="198" spans="1:6" s="30" customFormat="1" x14ac:dyDescent="0.4">
      <c r="A198" s="51"/>
      <c r="B198" s="52"/>
      <c r="C198" s="110" t="s">
        <v>843</v>
      </c>
      <c r="D198" s="110"/>
      <c r="E198" s="52"/>
      <c r="F198" s="88"/>
    </row>
    <row r="199" spans="1:6" s="30" customFormat="1" ht="34.9" x14ac:dyDescent="0.4">
      <c r="A199" s="54" t="s">
        <v>218</v>
      </c>
      <c r="B199" s="55" t="s">
        <v>451</v>
      </c>
      <c r="C199" s="93" t="s">
        <v>581</v>
      </c>
      <c r="D199" s="94" t="s">
        <v>309</v>
      </c>
      <c r="E199" s="106">
        <v>0.41399999999999998</v>
      </c>
      <c r="F199" s="107"/>
    </row>
    <row r="200" spans="1:6" s="30" customFormat="1" x14ac:dyDescent="0.4">
      <c r="A200" s="54" t="s">
        <v>219</v>
      </c>
      <c r="B200" s="55" t="s">
        <v>34</v>
      </c>
      <c r="C200" s="93" t="s">
        <v>840</v>
      </c>
      <c r="D200" s="94" t="s">
        <v>14</v>
      </c>
      <c r="E200" s="104">
        <v>0.36399999999999999</v>
      </c>
      <c r="F200" s="105"/>
    </row>
    <row r="201" spans="1:6" s="30" customFormat="1" x14ac:dyDescent="0.4">
      <c r="A201" s="54" t="s">
        <v>220</v>
      </c>
      <c r="B201" s="55" t="s">
        <v>34</v>
      </c>
      <c r="C201" s="93" t="s">
        <v>841</v>
      </c>
      <c r="D201" s="94" t="s">
        <v>14</v>
      </c>
      <c r="E201" s="104">
        <v>1.6E-2</v>
      </c>
      <c r="F201" s="105"/>
    </row>
    <row r="202" spans="1:6" s="30" customFormat="1" x14ac:dyDescent="0.4">
      <c r="A202" s="54" t="s">
        <v>221</v>
      </c>
      <c r="B202" s="55" t="s">
        <v>34</v>
      </c>
      <c r="C202" s="93" t="s">
        <v>582</v>
      </c>
      <c r="D202" s="94" t="s">
        <v>14</v>
      </c>
      <c r="E202" s="104">
        <v>3.4000000000000002E-2</v>
      </c>
      <c r="F202" s="105"/>
    </row>
    <row r="203" spans="1:6" s="30" customFormat="1" x14ac:dyDescent="0.4">
      <c r="A203" s="51"/>
      <c r="B203" s="52"/>
      <c r="C203" s="110" t="s">
        <v>844</v>
      </c>
      <c r="D203" s="110"/>
      <c r="E203" s="52"/>
      <c r="F203" s="88"/>
    </row>
    <row r="204" spans="1:6" s="30" customFormat="1" ht="34.9" x14ac:dyDescent="0.4">
      <c r="A204" s="54" t="s">
        <v>222</v>
      </c>
      <c r="B204" s="55" t="s">
        <v>451</v>
      </c>
      <c r="C204" s="93" t="s">
        <v>581</v>
      </c>
      <c r="D204" s="94" t="s">
        <v>309</v>
      </c>
      <c r="E204" s="106">
        <v>10.287000000000001</v>
      </c>
      <c r="F204" s="107"/>
    </row>
    <row r="205" spans="1:6" s="30" customFormat="1" x14ac:dyDescent="0.4">
      <c r="A205" s="54" t="s">
        <v>223</v>
      </c>
      <c r="B205" s="55" t="s">
        <v>34</v>
      </c>
      <c r="C205" s="93" t="s">
        <v>840</v>
      </c>
      <c r="D205" s="94" t="s">
        <v>14</v>
      </c>
      <c r="E205" s="104">
        <v>9.1950000000000003</v>
      </c>
      <c r="F205" s="105"/>
    </row>
    <row r="206" spans="1:6" s="30" customFormat="1" x14ac:dyDescent="0.4">
      <c r="A206" s="54" t="s">
        <v>224</v>
      </c>
      <c r="B206" s="55" t="s">
        <v>34</v>
      </c>
      <c r="C206" s="93" t="s">
        <v>841</v>
      </c>
      <c r="D206" s="94" t="s">
        <v>14</v>
      </c>
      <c r="E206" s="104">
        <v>0.34799999999999998</v>
      </c>
      <c r="F206" s="105"/>
    </row>
    <row r="207" spans="1:6" s="30" customFormat="1" x14ac:dyDescent="0.4">
      <c r="A207" s="54" t="s">
        <v>225</v>
      </c>
      <c r="B207" s="55" t="s">
        <v>34</v>
      </c>
      <c r="C207" s="93" t="s">
        <v>582</v>
      </c>
      <c r="D207" s="94" t="s">
        <v>14</v>
      </c>
      <c r="E207" s="104">
        <v>0.74399999999999999</v>
      </c>
      <c r="F207" s="105"/>
    </row>
    <row r="208" spans="1:6" s="30" customFormat="1" x14ac:dyDescent="0.4">
      <c r="A208" s="51"/>
      <c r="B208" s="52"/>
      <c r="C208" s="110" t="s">
        <v>845</v>
      </c>
      <c r="D208" s="110"/>
      <c r="E208" s="52"/>
      <c r="F208" s="88"/>
    </row>
    <row r="209" spans="1:6" s="30" customFormat="1" ht="34.9" x14ac:dyDescent="0.4">
      <c r="A209" s="54" t="s">
        <v>226</v>
      </c>
      <c r="B209" s="55" t="s">
        <v>451</v>
      </c>
      <c r="C209" s="93" t="s">
        <v>581</v>
      </c>
      <c r="D209" s="94" t="s">
        <v>309</v>
      </c>
      <c r="E209" s="106">
        <v>2.1080000000000001</v>
      </c>
      <c r="F209" s="107"/>
    </row>
    <row r="210" spans="1:6" s="30" customFormat="1" x14ac:dyDescent="0.4">
      <c r="A210" s="54" t="s">
        <v>227</v>
      </c>
      <c r="B210" s="55" t="s">
        <v>34</v>
      </c>
      <c r="C210" s="93" t="s">
        <v>840</v>
      </c>
      <c r="D210" s="94" t="s">
        <v>14</v>
      </c>
      <c r="E210" s="104">
        <v>1.8180000000000001</v>
      </c>
      <c r="F210" s="105"/>
    </row>
    <row r="211" spans="1:6" s="30" customFormat="1" x14ac:dyDescent="0.4">
      <c r="A211" s="54" t="s">
        <v>228</v>
      </c>
      <c r="B211" s="55" t="s">
        <v>34</v>
      </c>
      <c r="C211" s="93" t="s">
        <v>841</v>
      </c>
      <c r="D211" s="94" t="s">
        <v>14</v>
      </c>
      <c r="E211" s="104">
        <v>0.129</v>
      </c>
      <c r="F211" s="105"/>
    </row>
    <row r="212" spans="1:6" s="30" customFormat="1" x14ac:dyDescent="0.4">
      <c r="A212" s="54" t="s">
        <v>229</v>
      </c>
      <c r="B212" s="55" t="s">
        <v>34</v>
      </c>
      <c r="C212" s="93" t="s">
        <v>582</v>
      </c>
      <c r="D212" s="94" t="s">
        <v>14</v>
      </c>
      <c r="E212" s="104">
        <v>0.161</v>
      </c>
      <c r="F212" s="105"/>
    </row>
    <row r="213" spans="1:6" s="30" customFormat="1" x14ac:dyDescent="0.4">
      <c r="A213" s="51"/>
      <c r="B213" s="52"/>
      <c r="C213" s="110" t="s">
        <v>846</v>
      </c>
      <c r="D213" s="110"/>
      <c r="E213" s="52"/>
      <c r="F213" s="88"/>
    </row>
    <row r="214" spans="1:6" s="30" customFormat="1" x14ac:dyDescent="0.4">
      <c r="A214" s="54" t="s">
        <v>230</v>
      </c>
      <c r="B214" s="55" t="s">
        <v>565</v>
      </c>
      <c r="C214" s="93" t="s">
        <v>566</v>
      </c>
      <c r="D214" s="94" t="s">
        <v>14</v>
      </c>
      <c r="E214" s="106">
        <v>0.41799999999999998</v>
      </c>
      <c r="F214" s="107"/>
    </row>
    <row r="215" spans="1:6" s="30" customFormat="1" x14ac:dyDescent="0.4">
      <c r="A215" s="54" t="s">
        <v>231</v>
      </c>
      <c r="B215" s="55" t="s">
        <v>34</v>
      </c>
      <c r="C215" s="93" t="s">
        <v>568</v>
      </c>
      <c r="D215" s="94" t="s">
        <v>14</v>
      </c>
      <c r="E215" s="104">
        <v>0.39100000000000001</v>
      </c>
      <c r="F215" s="105"/>
    </row>
    <row r="216" spans="1:6" s="30" customFormat="1" x14ac:dyDescent="0.4">
      <c r="A216" s="54" t="s">
        <v>242</v>
      </c>
      <c r="B216" s="55" t="s">
        <v>34</v>
      </c>
      <c r="C216" s="93" t="s">
        <v>847</v>
      </c>
      <c r="D216" s="94" t="s">
        <v>14</v>
      </c>
      <c r="E216" s="104">
        <v>2.7E-2</v>
      </c>
      <c r="F216" s="105"/>
    </row>
    <row r="217" spans="1:6" s="30" customFormat="1" x14ac:dyDescent="0.4">
      <c r="A217" s="54" t="s">
        <v>243</v>
      </c>
      <c r="B217" s="55" t="s">
        <v>848</v>
      </c>
      <c r="C217" s="93" t="s">
        <v>849</v>
      </c>
      <c r="D217" s="94" t="s">
        <v>850</v>
      </c>
      <c r="E217" s="106">
        <v>5.76</v>
      </c>
      <c r="F217" s="107"/>
    </row>
    <row r="218" spans="1:6" s="30" customFormat="1" x14ac:dyDescent="0.4">
      <c r="A218" s="54" t="s">
        <v>244</v>
      </c>
      <c r="B218" s="55" t="s">
        <v>34</v>
      </c>
      <c r="C218" s="93" t="s">
        <v>851</v>
      </c>
      <c r="D218" s="94" t="s">
        <v>30</v>
      </c>
      <c r="E218" s="108">
        <v>576</v>
      </c>
      <c r="F218" s="109"/>
    </row>
    <row r="219" spans="1:6" s="30" customFormat="1" x14ac:dyDescent="0.4">
      <c r="A219" s="51"/>
      <c r="B219" s="52"/>
      <c r="C219" s="110" t="s">
        <v>852</v>
      </c>
      <c r="D219" s="110"/>
      <c r="E219" s="52"/>
      <c r="F219" s="88"/>
    </row>
    <row r="220" spans="1:6" s="30" customFormat="1" x14ac:dyDescent="0.4">
      <c r="A220" s="54" t="s">
        <v>245</v>
      </c>
      <c r="B220" s="55" t="s">
        <v>565</v>
      </c>
      <c r="C220" s="93" t="s">
        <v>566</v>
      </c>
      <c r="D220" s="94" t="s">
        <v>14</v>
      </c>
      <c r="E220" s="106">
        <v>0.65800000000000003</v>
      </c>
      <c r="F220" s="107"/>
    </row>
    <row r="221" spans="1:6" s="30" customFormat="1" x14ac:dyDescent="0.4">
      <c r="A221" s="54" t="s">
        <v>246</v>
      </c>
      <c r="B221" s="55" t="s">
        <v>34</v>
      </c>
      <c r="C221" s="93" t="s">
        <v>568</v>
      </c>
      <c r="D221" s="94" t="s">
        <v>14</v>
      </c>
      <c r="E221" s="104">
        <v>0.624</v>
      </c>
      <c r="F221" s="105"/>
    </row>
    <row r="222" spans="1:6" s="30" customFormat="1" x14ac:dyDescent="0.4">
      <c r="A222" s="54" t="s">
        <v>247</v>
      </c>
      <c r="B222" s="55" t="s">
        <v>34</v>
      </c>
      <c r="C222" s="93" t="s">
        <v>847</v>
      </c>
      <c r="D222" s="94" t="s">
        <v>14</v>
      </c>
      <c r="E222" s="104">
        <v>3.4000000000000002E-2</v>
      </c>
      <c r="F222" s="105"/>
    </row>
    <row r="223" spans="1:6" s="30" customFormat="1" x14ac:dyDescent="0.4">
      <c r="A223" s="54" t="s">
        <v>139</v>
      </c>
      <c r="B223" s="55" t="s">
        <v>848</v>
      </c>
      <c r="C223" s="93" t="s">
        <v>849</v>
      </c>
      <c r="D223" s="94" t="s">
        <v>850</v>
      </c>
      <c r="E223" s="106">
        <v>7.2</v>
      </c>
      <c r="F223" s="107"/>
    </row>
    <row r="224" spans="1:6" s="30" customFormat="1" x14ac:dyDescent="0.4">
      <c r="A224" s="54" t="s">
        <v>248</v>
      </c>
      <c r="B224" s="55" t="s">
        <v>34</v>
      </c>
      <c r="C224" s="93" t="s">
        <v>851</v>
      </c>
      <c r="D224" s="94" t="s">
        <v>30</v>
      </c>
      <c r="E224" s="108">
        <v>720</v>
      </c>
      <c r="F224" s="109"/>
    </row>
    <row r="225" spans="1:6" s="30" customFormat="1" x14ac:dyDescent="0.4">
      <c r="A225" s="51"/>
      <c r="B225" s="52"/>
      <c r="C225" s="110" t="s">
        <v>853</v>
      </c>
      <c r="D225" s="110"/>
      <c r="E225" s="52"/>
      <c r="F225" s="88"/>
    </row>
    <row r="226" spans="1:6" s="30" customFormat="1" x14ac:dyDescent="0.4">
      <c r="A226" s="54" t="s">
        <v>249</v>
      </c>
      <c r="B226" s="55" t="s">
        <v>565</v>
      </c>
      <c r="C226" s="93" t="s">
        <v>566</v>
      </c>
      <c r="D226" s="94" t="s">
        <v>14</v>
      </c>
      <c r="E226" s="106">
        <v>0.67300000000000004</v>
      </c>
      <c r="F226" s="107"/>
    </row>
    <row r="227" spans="1:6" s="30" customFormat="1" x14ac:dyDescent="0.4">
      <c r="A227" s="54" t="s">
        <v>250</v>
      </c>
      <c r="B227" s="55" t="s">
        <v>34</v>
      </c>
      <c r="C227" s="93" t="s">
        <v>854</v>
      </c>
      <c r="D227" s="94" t="s">
        <v>14</v>
      </c>
      <c r="E227" s="104">
        <v>0.61799999999999999</v>
      </c>
      <c r="F227" s="105"/>
    </row>
    <row r="228" spans="1:6" s="30" customFormat="1" x14ac:dyDescent="0.4">
      <c r="A228" s="54" t="s">
        <v>251</v>
      </c>
      <c r="B228" s="55" t="s">
        <v>34</v>
      </c>
      <c r="C228" s="93" t="s">
        <v>847</v>
      </c>
      <c r="D228" s="94" t="s">
        <v>14</v>
      </c>
      <c r="E228" s="104">
        <v>5.5E-2</v>
      </c>
      <c r="F228" s="105"/>
    </row>
    <row r="229" spans="1:6" s="30" customFormat="1" x14ac:dyDescent="0.4">
      <c r="A229" s="54" t="s">
        <v>252</v>
      </c>
      <c r="B229" s="55" t="s">
        <v>848</v>
      </c>
      <c r="C229" s="93" t="s">
        <v>849</v>
      </c>
      <c r="D229" s="94" t="s">
        <v>850</v>
      </c>
      <c r="E229" s="106">
        <v>5.04</v>
      </c>
      <c r="F229" s="107"/>
    </row>
    <row r="230" spans="1:6" s="30" customFormat="1" x14ac:dyDescent="0.4">
      <c r="A230" s="54" t="s">
        <v>253</v>
      </c>
      <c r="B230" s="55" t="s">
        <v>34</v>
      </c>
      <c r="C230" s="93" t="s">
        <v>851</v>
      </c>
      <c r="D230" s="94" t="s">
        <v>30</v>
      </c>
      <c r="E230" s="108">
        <v>504</v>
      </c>
      <c r="F230" s="109"/>
    </row>
    <row r="231" spans="1:6" s="30" customFormat="1" x14ac:dyDescent="0.4">
      <c r="A231" s="51"/>
      <c r="B231" s="52"/>
      <c r="C231" s="110" t="s">
        <v>855</v>
      </c>
      <c r="D231" s="110"/>
      <c r="E231" s="52"/>
      <c r="F231" s="88"/>
    </row>
    <row r="232" spans="1:6" s="30" customFormat="1" x14ac:dyDescent="0.4">
      <c r="A232" s="54" t="s">
        <v>254</v>
      </c>
      <c r="B232" s="55" t="s">
        <v>565</v>
      </c>
      <c r="C232" s="93" t="s">
        <v>566</v>
      </c>
      <c r="D232" s="94" t="s">
        <v>14</v>
      </c>
      <c r="E232" s="106">
        <v>1.087</v>
      </c>
      <c r="F232" s="107"/>
    </row>
    <row r="233" spans="1:6" s="30" customFormat="1" x14ac:dyDescent="0.4">
      <c r="A233" s="54" t="s">
        <v>255</v>
      </c>
      <c r="B233" s="55" t="s">
        <v>34</v>
      </c>
      <c r="C233" s="93" t="s">
        <v>854</v>
      </c>
      <c r="D233" s="94" t="s">
        <v>14</v>
      </c>
      <c r="E233" s="104">
        <v>1.0469999999999999</v>
      </c>
      <c r="F233" s="105"/>
    </row>
    <row r="234" spans="1:6" s="30" customFormat="1" x14ac:dyDescent="0.4">
      <c r="A234" s="54" t="s">
        <v>256</v>
      </c>
      <c r="B234" s="55" t="s">
        <v>34</v>
      </c>
      <c r="C234" s="93" t="s">
        <v>847</v>
      </c>
      <c r="D234" s="94" t="s">
        <v>14</v>
      </c>
      <c r="E234" s="104">
        <v>0.04</v>
      </c>
      <c r="F234" s="105"/>
    </row>
    <row r="235" spans="1:6" s="30" customFormat="1" x14ac:dyDescent="0.4">
      <c r="A235" s="54" t="s">
        <v>257</v>
      </c>
      <c r="B235" s="55" t="s">
        <v>848</v>
      </c>
      <c r="C235" s="93" t="s">
        <v>849</v>
      </c>
      <c r="D235" s="94" t="s">
        <v>850</v>
      </c>
      <c r="E235" s="106">
        <v>3.6</v>
      </c>
      <c r="F235" s="107"/>
    </row>
    <row r="236" spans="1:6" s="30" customFormat="1" x14ac:dyDescent="0.4">
      <c r="A236" s="54" t="s">
        <v>258</v>
      </c>
      <c r="B236" s="55" t="s">
        <v>34</v>
      </c>
      <c r="C236" s="93" t="s">
        <v>851</v>
      </c>
      <c r="D236" s="94" t="s">
        <v>30</v>
      </c>
      <c r="E236" s="108">
        <v>360</v>
      </c>
      <c r="F236" s="109"/>
    </row>
    <row r="237" spans="1:6" s="30" customFormat="1" x14ac:dyDescent="0.4">
      <c r="A237" s="51"/>
      <c r="B237" s="52"/>
      <c r="C237" s="110" t="s">
        <v>856</v>
      </c>
      <c r="D237" s="110"/>
      <c r="E237" s="52"/>
      <c r="F237" s="88"/>
    </row>
    <row r="238" spans="1:6" s="30" customFormat="1" x14ac:dyDescent="0.4">
      <c r="A238" s="54" t="s">
        <v>259</v>
      </c>
      <c r="B238" s="55" t="s">
        <v>565</v>
      </c>
      <c r="C238" s="93" t="s">
        <v>566</v>
      </c>
      <c r="D238" s="94" t="s">
        <v>14</v>
      </c>
      <c r="E238" s="106">
        <v>1.2969999999999999</v>
      </c>
      <c r="F238" s="107"/>
    </row>
    <row r="239" spans="1:6" s="30" customFormat="1" x14ac:dyDescent="0.4">
      <c r="A239" s="54" t="s">
        <v>260</v>
      </c>
      <c r="B239" s="55" t="s">
        <v>34</v>
      </c>
      <c r="C239" s="93" t="s">
        <v>568</v>
      </c>
      <c r="D239" s="94" t="s">
        <v>14</v>
      </c>
      <c r="E239" s="104">
        <v>1.2529999999999999</v>
      </c>
      <c r="F239" s="105"/>
    </row>
    <row r="240" spans="1:6" s="30" customFormat="1" x14ac:dyDescent="0.4">
      <c r="A240" s="54" t="s">
        <v>261</v>
      </c>
      <c r="B240" s="55" t="s">
        <v>34</v>
      </c>
      <c r="C240" s="93" t="s">
        <v>847</v>
      </c>
      <c r="D240" s="94" t="s">
        <v>14</v>
      </c>
      <c r="E240" s="104">
        <v>4.3999999999999997E-2</v>
      </c>
      <c r="F240" s="105"/>
    </row>
    <row r="241" spans="1:6" s="30" customFormat="1" x14ac:dyDescent="0.4">
      <c r="A241" s="54" t="s">
        <v>262</v>
      </c>
      <c r="B241" s="55" t="s">
        <v>848</v>
      </c>
      <c r="C241" s="93" t="s">
        <v>849</v>
      </c>
      <c r="D241" s="94" t="s">
        <v>850</v>
      </c>
      <c r="E241" s="106">
        <v>9.36</v>
      </c>
      <c r="F241" s="107"/>
    </row>
    <row r="242" spans="1:6" s="30" customFormat="1" x14ac:dyDescent="0.4">
      <c r="A242" s="54" t="s">
        <v>263</v>
      </c>
      <c r="B242" s="55" t="s">
        <v>34</v>
      </c>
      <c r="C242" s="93" t="s">
        <v>851</v>
      </c>
      <c r="D242" s="94" t="s">
        <v>30</v>
      </c>
      <c r="E242" s="108">
        <v>936</v>
      </c>
      <c r="F242" s="109"/>
    </row>
    <row r="243" spans="1:6" s="30" customFormat="1" x14ac:dyDescent="0.4">
      <c r="A243" s="51"/>
      <c r="B243" s="52"/>
      <c r="C243" s="110" t="s">
        <v>857</v>
      </c>
      <c r="D243" s="110"/>
      <c r="E243" s="52"/>
      <c r="F243" s="88"/>
    </row>
    <row r="244" spans="1:6" s="30" customFormat="1" x14ac:dyDescent="0.4">
      <c r="A244" s="54" t="s">
        <v>264</v>
      </c>
      <c r="B244" s="55" t="s">
        <v>565</v>
      </c>
      <c r="C244" s="93" t="s">
        <v>566</v>
      </c>
      <c r="D244" s="94" t="s">
        <v>14</v>
      </c>
      <c r="E244" s="106">
        <v>0.19</v>
      </c>
      <c r="F244" s="107"/>
    </row>
    <row r="245" spans="1:6" s="30" customFormat="1" x14ac:dyDescent="0.4">
      <c r="A245" s="54" t="s">
        <v>265</v>
      </c>
      <c r="B245" s="55" t="s">
        <v>34</v>
      </c>
      <c r="C245" s="93" t="s">
        <v>568</v>
      </c>
      <c r="D245" s="94" t="s">
        <v>14</v>
      </c>
      <c r="E245" s="104">
        <v>0.18</v>
      </c>
      <c r="F245" s="105"/>
    </row>
    <row r="246" spans="1:6" s="30" customFormat="1" x14ac:dyDescent="0.4">
      <c r="A246" s="54" t="s">
        <v>266</v>
      </c>
      <c r="B246" s="55" t="s">
        <v>34</v>
      </c>
      <c r="C246" s="93" t="s">
        <v>847</v>
      </c>
      <c r="D246" s="94" t="s">
        <v>14</v>
      </c>
      <c r="E246" s="104">
        <v>0.01</v>
      </c>
      <c r="F246" s="105"/>
    </row>
    <row r="247" spans="1:6" s="30" customFormat="1" x14ac:dyDescent="0.4">
      <c r="A247" s="54" t="s">
        <v>267</v>
      </c>
      <c r="B247" s="55" t="s">
        <v>848</v>
      </c>
      <c r="C247" s="93" t="s">
        <v>849</v>
      </c>
      <c r="D247" s="94" t="s">
        <v>850</v>
      </c>
      <c r="E247" s="106">
        <v>2.08</v>
      </c>
      <c r="F247" s="107"/>
    </row>
    <row r="248" spans="1:6" s="30" customFormat="1" x14ac:dyDescent="0.4">
      <c r="A248" s="54" t="s">
        <v>268</v>
      </c>
      <c r="B248" s="55" t="s">
        <v>34</v>
      </c>
      <c r="C248" s="93" t="s">
        <v>851</v>
      </c>
      <c r="D248" s="94" t="s">
        <v>30</v>
      </c>
      <c r="E248" s="108">
        <v>208</v>
      </c>
      <c r="F248" s="109"/>
    </row>
    <row r="249" spans="1:6" s="30" customFormat="1" x14ac:dyDescent="0.4">
      <c r="A249" s="51"/>
      <c r="B249" s="52"/>
      <c r="C249" s="110" t="s">
        <v>591</v>
      </c>
      <c r="D249" s="110"/>
      <c r="E249" s="52"/>
      <c r="F249" s="88"/>
    </row>
    <row r="250" spans="1:6" s="30" customFormat="1" x14ac:dyDescent="0.4">
      <c r="A250" s="51"/>
      <c r="B250" s="52"/>
      <c r="C250" s="110" t="s">
        <v>790</v>
      </c>
      <c r="D250" s="110"/>
      <c r="E250" s="52"/>
      <c r="F250" s="88"/>
    </row>
    <row r="251" spans="1:6" s="30" customFormat="1" ht="34.9" x14ac:dyDescent="0.4">
      <c r="A251" s="54" t="s">
        <v>269</v>
      </c>
      <c r="B251" s="55" t="s">
        <v>451</v>
      </c>
      <c r="C251" s="93" t="s">
        <v>581</v>
      </c>
      <c r="D251" s="94" t="s">
        <v>309</v>
      </c>
      <c r="E251" s="106">
        <v>0.2</v>
      </c>
      <c r="F251" s="107"/>
    </row>
    <row r="252" spans="1:6" s="30" customFormat="1" x14ac:dyDescent="0.4">
      <c r="A252" s="54" t="s">
        <v>270</v>
      </c>
      <c r="B252" s="55" t="s">
        <v>34</v>
      </c>
      <c r="C252" s="93" t="s">
        <v>568</v>
      </c>
      <c r="D252" s="94" t="s">
        <v>14</v>
      </c>
      <c r="E252" s="104">
        <v>0.184</v>
      </c>
      <c r="F252" s="105"/>
    </row>
    <row r="253" spans="1:6" s="30" customFormat="1" x14ac:dyDescent="0.4">
      <c r="A253" s="54" t="s">
        <v>271</v>
      </c>
      <c r="B253" s="55" t="s">
        <v>34</v>
      </c>
      <c r="C253" s="93" t="s">
        <v>592</v>
      </c>
      <c r="D253" s="94" t="s">
        <v>14</v>
      </c>
      <c r="E253" s="104">
        <v>1.6E-2</v>
      </c>
      <c r="F253" s="105"/>
    </row>
    <row r="254" spans="1:6" s="30" customFormat="1" x14ac:dyDescent="0.4">
      <c r="A254" s="51"/>
      <c r="B254" s="52"/>
      <c r="C254" s="110" t="s">
        <v>790</v>
      </c>
      <c r="D254" s="110"/>
      <c r="E254" s="52"/>
      <c r="F254" s="88"/>
    </row>
    <row r="255" spans="1:6" s="30" customFormat="1" ht="34.9" x14ac:dyDescent="0.4">
      <c r="A255" s="54" t="s">
        <v>272</v>
      </c>
      <c r="B255" s="55" t="s">
        <v>451</v>
      </c>
      <c r="C255" s="93" t="s">
        <v>581</v>
      </c>
      <c r="D255" s="94" t="s">
        <v>309</v>
      </c>
      <c r="E255" s="106">
        <v>0.113</v>
      </c>
      <c r="F255" s="107"/>
    </row>
    <row r="256" spans="1:6" s="30" customFormat="1" x14ac:dyDescent="0.4">
      <c r="A256" s="54" t="s">
        <v>273</v>
      </c>
      <c r="B256" s="55" t="s">
        <v>34</v>
      </c>
      <c r="C256" s="93" t="s">
        <v>568</v>
      </c>
      <c r="D256" s="94" t="s">
        <v>14</v>
      </c>
      <c r="E256" s="104">
        <v>0.113</v>
      </c>
      <c r="F256" s="105"/>
    </row>
    <row r="257" spans="1:6" s="30" customFormat="1" x14ac:dyDescent="0.4">
      <c r="A257" s="54" t="s">
        <v>274</v>
      </c>
      <c r="B257" s="55" t="s">
        <v>34</v>
      </c>
      <c r="C257" s="93" t="s">
        <v>583</v>
      </c>
      <c r="D257" s="94" t="s">
        <v>30</v>
      </c>
      <c r="E257" s="108">
        <v>48</v>
      </c>
      <c r="F257" s="109"/>
    </row>
    <row r="258" spans="1:6" s="30" customFormat="1" x14ac:dyDescent="0.4">
      <c r="A258" s="51"/>
      <c r="B258" s="52"/>
      <c r="C258" s="110" t="s">
        <v>858</v>
      </c>
      <c r="D258" s="110"/>
      <c r="E258" s="52"/>
      <c r="F258" s="88"/>
    </row>
    <row r="259" spans="1:6" s="30" customFormat="1" x14ac:dyDescent="0.4">
      <c r="A259" s="54" t="s">
        <v>275</v>
      </c>
      <c r="B259" s="55" t="s">
        <v>565</v>
      </c>
      <c r="C259" s="93" t="s">
        <v>566</v>
      </c>
      <c r="D259" s="94" t="s">
        <v>14</v>
      </c>
      <c r="E259" s="106">
        <v>0.13800000000000001</v>
      </c>
      <c r="F259" s="107"/>
    </row>
    <row r="260" spans="1:6" s="30" customFormat="1" x14ac:dyDescent="0.4">
      <c r="A260" s="54" t="s">
        <v>276</v>
      </c>
      <c r="B260" s="55" t="s">
        <v>34</v>
      </c>
      <c r="C260" s="93" t="s">
        <v>568</v>
      </c>
      <c r="D260" s="94" t="s">
        <v>14</v>
      </c>
      <c r="E260" s="104">
        <v>0.13800000000000001</v>
      </c>
      <c r="F260" s="105"/>
    </row>
    <row r="261" spans="1:6" s="30" customFormat="1" ht="34.9" x14ac:dyDescent="0.4">
      <c r="A261" s="54" t="s">
        <v>277</v>
      </c>
      <c r="B261" s="55" t="s">
        <v>584</v>
      </c>
      <c r="C261" s="93" t="s">
        <v>859</v>
      </c>
      <c r="D261" s="94" t="s">
        <v>579</v>
      </c>
      <c r="E261" s="106">
        <v>14.34</v>
      </c>
      <c r="F261" s="107"/>
    </row>
    <row r="262" spans="1:6" s="30" customFormat="1" ht="23.25" x14ac:dyDescent="0.4">
      <c r="A262" s="54" t="s">
        <v>278</v>
      </c>
      <c r="B262" s="55" t="s">
        <v>593</v>
      </c>
      <c r="C262" s="93" t="s">
        <v>594</v>
      </c>
      <c r="D262" s="94" t="s">
        <v>508</v>
      </c>
      <c r="E262" s="106">
        <v>0.36</v>
      </c>
      <c r="F262" s="107"/>
    </row>
    <row r="263" spans="1:6" s="30" customFormat="1" x14ac:dyDescent="0.4">
      <c r="A263" s="51"/>
      <c r="B263" s="52"/>
      <c r="C263" s="110" t="s">
        <v>799</v>
      </c>
      <c r="D263" s="110"/>
      <c r="E263" s="52"/>
      <c r="F263" s="88"/>
    </row>
    <row r="264" spans="1:6" s="30" customFormat="1" x14ac:dyDescent="0.4">
      <c r="A264" s="54" t="s">
        <v>279</v>
      </c>
      <c r="B264" s="55" t="s">
        <v>565</v>
      </c>
      <c r="C264" s="93" t="s">
        <v>860</v>
      </c>
      <c r="D264" s="94" t="s">
        <v>14</v>
      </c>
      <c r="E264" s="106">
        <v>2.1349999999999998</v>
      </c>
      <c r="F264" s="107"/>
    </row>
    <row r="265" spans="1:6" s="30" customFormat="1" x14ac:dyDescent="0.4">
      <c r="A265" s="54" t="s">
        <v>280</v>
      </c>
      <c r="B265" s="55" t="s">
        <v>34</v>
      </c>
      <c r="C265" s="93" t="s">
        <v>568</v>
      </c>
      <c r="D265" s="94" t="s">
        <v>14</v>
      </c>
      <c r="E265" s="104">
        <v>0.625</v>
      </c>
      <c r="F265" s="105"/>
    </row>
    <row r="266" spans="1:6" s="30" customFormat="1" x14ac:dyDescent="0.4">
      <c r="A266" s="54" t="s">
        <v>281</v>
      </c>
      <c r="B266" s="55" t="s">
        <v>34</v>
      </c>
      <c r="C266" s="93" t="s">
        <v>861</v>
      </c>
      <c r="D266" s="94" t="s">
        <v>14</v>
      </c>
      <c r="E266" s="104">
        <v>1.51</v>
      </c>
      <c r="F266" s="105"/>
    </row>
    <row r="267" spans="1:6" s="30" customFormat="1" x14ac:dyDescent="0.4">
      <c r="A267" s="54" t="s">
        <v>282</v>
      </c>
      <c r="B267" s="55" t="s">
        <v>848</v>
      </c>
      <c r="C267" s="93" t="s">
        <v>849</v>
      </c>
      <c r="D267" s="94" t="s">
        <v>850</v>
      </c>
      <c r="E267" s="106">
        <v>52.08</v>
      </c>
      <c r="F267" s="107"/>
    </row>
    <row r="268" spans="1:6" s="30" customFormat="1" x14ac:dyDescent="0.4">
      <c r="A268" s="54" t="s">
        <v>283</v>
      </c>
      <c r="B268" s="55" t="s">
        <v>34</v>
      </c>
      <c r="C268" s="93" t="s">
        <v>851</v>
      </c>
      <c r="D268" s="94" t="s">
        <v>30</v>
      </c>
      <c r="E268" s="108">
        <v>5208</v>
      </c>
      <c r="F268" s="109"/>
    </row>
    <row r="269" spans="1:6" s="30" customFormat="1" x14ac:dyDescent="0.4">
      <c r="A269" s="54" t="s">
        <v>284</v>
      </c>
      <c r="B269" s="55" t="s">
        <v>569</v>
      </c>
      <c r="C269" s="93" t="s">
        <v>570</v>
      </c>
      <c r="D269" s="94" t="s">
        <v>14</v>
      </c>
      <c r="E269" s="106">
        <v>8.2759999999999998</v>
      </c>
      <c r="F269" s="107"/>
    </row>
    <row r="270" spans="1:6" s="30" customFormat="1" ht="23.25" x14ac:dyDescent="0.4">
      <c r="A270" s="54" t="s">
        <v>285</v>
      </c>
      <c r="B270" s="55" t="s">
        <v>34</v>
      </c>
      <c r="C270" s="93" t="s">
        <v>520</v>
      </c>
      <c r="D270" s="94" t="s">
        <v>14</v>
      </c>
      <c r="E270" s="104">
        <v>0.121</v>
      </c>
      <c r="F270" s="105"/>
    </row>
    <row r="271" spans="1:6" s="30" customFormat="1" ht="23.25" x14ac:dyDescent="0.4">
      <c r="A271" s="54" t="s">
        <v>286</v>
      </c>
      <c r="B271" s="55" t="s">
        <v>34</v>
      </c>
      <c r="C271" s="93" t="s">
        <v>564</v>
      </c>
      <c r="D271" s="94" t="s">
        <v>14</v>
      </c>
      <c r="E271" s="104">
        <v>0.495</v>
      </c>
      <c r="F271" s="105"/>
    </row>
    <row r="272" spans="1:6" s="30" customFormat="1" x14ac:dyDescent="0.4">
      <c r="A272" s="51"/>
      <c r="B272" s="52"/>
      <c r="C272" s="110" t="s">
        <v>598</v>
      </c>
      <c r="D272" s="110"/>
      <c r="E272" s="52"/>
      <c r="F272" s="88"/>
    </row>
    <row r="273" spans="1:6" s="30" customFormat="1" ht="23.25" x14ac:dyDescent="0.4">
      <c r="A273" s="54" t="s">
        <v>287</v>
      </c>
      <c r="B273" s="55" t="s">
        <v>599</v>
      </c>
      <c r="C273" s="93" t="s">
        <v>600</v>
      </c>
      <c r="D273" s="94" t="s">
        <v>991</v>
      </c>
      <c r="E273" s="106">
        <v>0.36880000000000002</v>
      </c>
      <c r="F273" s="107"/>
    </row>
    <row r="274" spans="1:6" s="30" customFormat="1" ht="23.25" x14ac:dyDescent="0.4">
      <c r="A274" s="54" t="s">
        <v>288</v>
      </c>
      <c r="B274" s="55" t="s">
        <v>34</v>
      </c>
      <c r="C274" s="93" t="s">
        <v>564</v>
      </c>
      <c r="D274" s="94" t="s">
        <v>14</v>
      </c>
      <c r="E274" s="104">
        <v>5.23</v>
      </c>
      <c r="F274" s="105"/>
    </row>
    <row r="275" spans="1:6" s="30" customFormat="1" ht="23.25" x14ac:dyDescent="0.4">
      <c r="A275" s="54" t="s">
        <v>289</v>
      </c>
      <c r="B275" s="55" t="s">
        <v>34</v>
      </c>
      <c r="C275" s="93" t="s">
        <v>558</v>
      </c>
      <c r="D275" s="94" t="s">
        <v>14</v>
      </c>
      <c r="E275" s="104">
        <v>0.61799999999999999</v>
      </c>
      <c r="F275" s="105"/>
    </row>
    <row r="276" spans="1:6" s="30" customFormat="1" ht="34.9" x14ac:dyDescent="0.4">
      <c r="A276" s="54" t="s">
        <v>290</v>
      </c>
      <c r="B276" s="55" t="s">
        <v>605</v>
      </c>
      <c r="C276" s="93" t="s">
        <v>862</v>
      </c>
      <c r="D276" s="94" t="s">
        <v>309</v>
      </c>
      <c r="E276" s="106">
        <v>0.218</v>
      </c>
      <c r="F276" s="107"/>
    </row>
    <row r="277" spans="1:6" s="30" customFormat="1" x14ac:dyDescent="0.4">
      <c r="A277" s="54" t="s">
        <v>291</v>
      </c>
      <c r="B277" s="55" t="s">
        <v>34</v>
      </c>
      <c r="C277" s="93" t="s">
        <v>863</v>
      </c>
      <c r="D277" s="94" t="s">
        <v>14</v>
      </c>
      <c r="E277" s="104">
        <v>0.215</v>
      </c>
      <c r="F277" s="105"/>
    </row>
    <row r="278" spans="1:6" s="30" customFormat="1" x14ac:dyDescent="0.4">
      <c r="A278" s="54" t="s">
        <v>292</v>
      </c>
      <c r="B278" s="55" t="s">
        <v>34</v>
      </c>
      <c r="C278" s="93" t="s">
        <v>864</v>
      </c>
      <c r="D278" s="94" t="s">
        <v>14</v>
      </c>
      <c r="E278" s="104">
        <v>3.0000000000000001E-3</v>
      </c>
      <c r="F278" s="105"/>
    </row>
    <row r="279" spans="1:6" s="30" customFormat="1" ht="34.9" x14ac:dyDescent="0.4">
      <c r="A279" s="54" t="s">
        <v>293</v>
      </c>
      <c r="B279" s="55" t="s">
        <v>865</v>
      </c>
      <c r="C279" s="93" t="s">
        <v>866</v>
      </c>
      <c r="D279" s="94" t="s">
        <v>309</v>
      </c>
      <c r="E279" s="106">
        <v>0.33700000000000002</v>
      </c>
      <c r="F279" s="107"/>
    </row>
    <row r="280" spans="1:6" s="30" customFormat="1" x14ac:dyDescent="0.4">
      <c r="A280" s="54" t="s">
        <v>294</v>
      </c>
      <c r="B280" s="55" t="s">
        <v>34</v>
      </c>
      <c r="C280" s="93" t="s">
        <v>568</v>
      </c>
      <c r="D280" s="94" t="s">
        <v>14</v>
      </c>
      <c r="E280" s="104">
        <v>5.7000000000000002E-2</v>
      </c>
      <c r="F280" s="105"/>
    </row>
    <row r="281" spans="1:6" s="30" customFormat="1" x14ac:dyDescent="0.4">
      <c r="A281" s="54" t="s">
        <v>295</v>
      </c>
      <c r="B281" s="55" t="s">
        <v>34</v>
      </c>
      <c r="C281" s="93" t="s">
        <v>867</v>
      </c>
      <c r="D281" s="94" t="s">
        <v>14</v>
      </c>
      <c r="E281" s="104">
        <v>2.5999999999999999E-2</v>
      </c>
      <c r="F281" s="105"/>
    </row>
    <row r="282" spans="1:6" s="30" customFormat="1" x14ac:dyDescent="0.4">
      <c r="A282" s="54" t="s">
        <v>296</v>
      </c>
      <c r="B282" s="55" t="s">
        <v>34</v>
      </c>
      <c r="C282" s="93" t="s">
        <v>868</v>
      </c>
      <c r="D282" s="94" t="s">
        <v>14</v>
      </c>
      <c r="E282" s="104">
        <v>0.254</v>
      </c>
      <c r="F282" s="105"/>
    </row>
    <row r="283" spans="1:6" s="30" customFormat="1" ht="34.9" x14ac:dyDescent="0.4">
      <c r="A283" s="54" t="s">
        <v>297</v>
      </c>
      <c r="B283" s="55" t="s">
        <v>605</v>
      </c>
      <c r="C283" s="93" t="s">
        <v>869</v>
      </c>
      <c r="D283" s="94" t="s">
        <v>309</v>
      </c>
      <c r="E283" s="106">
        <v>0.111</v>
      </c>
      <c r="F283" s="107"/>
    </row>
    <row r="284" spans="1:6" s="30" customFormat="1" x14ac:dyDescent="0.4">
      <c r="A284" s="54" t="s">
        <v>298</v>
      </c>
      <c r="B284" s="55" t="s">
        <v>34</v>
      </c>
      <c r="C284" s="93" t="s">
        <v>870</v>
      </c>
      <c r="D284" s="94" t="s">
        <v>14</v>
      </c>
      <c r="E284" s="104">
        <v>7.0999999999999994E-2</v>
      </c>
      <c r="F284" s="105"/>
    </row>
    <row r="285" spans="1:6" s="30" customFormat="1" x14ac:dyDescent="0.4">
      <c r="A285" s="54" t="s">
        <v>299</v>
      </c>
      <c r="B285" s="55" t="s">
        <v>34</v>
      </c>
      <c r="C285" s="93" t="s">
        <v>871</v>
      </c>
      <c r="D285" s="94" t="s">
        <v>14</v>
      </c>
      <c r="E285" s="104">
        <v>0.04</v>
      </c>
      <c r="F285" s="105"/>
    </row>
    <row r="286" spans="1:6" s="30" customFormat="1" ht="23.25" x14ac:dyDescent="0.4">
      <c r="A286" s="54" t="s">
        <v>300</v>
      </c>
      <c r="B286" s="55" t="s">
        <v>34</v>
      </c>
      <c r="C286" s="93" t="s">
        <v>518</v>
      </c>
      <c r="D286" s="94" t="s">
        <v>14</v>
      </c>
      <c r="E286" s="104">
        <v>4.5629999999999997</v>
      </c>
      <c r="F286" s="105"/>
    </row>
    <row r="287" spans="1:6" s="30" customFormat="1" ht="23.25" x14ac:dyDescent="0.4">
      <c r="A287" s="54" t="s">
        <v>301</v>
      </c>
      <c r="B287" s="55" t="s">
        <v>34</v>
      </c>
      <c r="C287" s="93" t="s">
        <v>558</v>
      </c>
      <c r="D287" s="94" t="s">
        <v>14</v>
      </c>
      <c r="E287" s="104">
        <v>0.61499999999999999</v>
      </c>
      <c r="F287" s="105"/>
    </row>
    <row r="288" spans="1:6" s="30" customFormat="1" x14ac:dyDescent="0.4">
      <c r="A288" s="51"/>
      <c r="B288" s="52"/>
      <c r="C288" s="110" t="s">
        <v>621</v>
      </c>
      <c r="D288" s="110"/>
      <c r="E288" s="52"/>
      <c r="F288" s="88"/>
    </row>
    <row r="289" spans="1:6" s="30" customFormat="1" ht="23.25" x14ac:dyDescent="0.4">
      <c r="A289" s="54" t="s">
        <v>302</v>
      </c>
      <c r="B289" s="55" t="s">
        <v>626</v>
      </c>
      <c r="C289" s="93" t="s">
        <v>627</v>
      </c>
      <c r="D289" s="94" t="s">
        <v>628</v>
      </c>
      <c r="E289" s="106">
        <v>3.2</v>
      </c>
      <c r="F289" s="107"/>
    </row>
    <row r="290" spans="1:6" s="30" customFormat="1" x14ac:dyDescent="0.4">
      <c r="A290" s="54" t="s">
        <v>303</v>
      </c>
      <c r="B290" s="55" t="s">
        <v>622</v>
      </c>
      <c r="C290" s="93" t="s">
        <v>623</v>
      </c>
      <c r="D290" s="94" t="s">
        <v>23</v>
      </c>
      <c r="E290" s="106">
        <v>2.9</v>
      </c>
      <c r="F290" s="107"/>
    </row>
    <row r="291" spans="1:6" s="30" customFormat="1" ht="23.25" x14ac:dyDescent="0.4">
      <c r="A291" s="54" t="s">
        <v>304</v>
      </c>
      <c r="B291" s="55" t="s">
        <v>34</v>
      </c>
      <c r="C291" s="93" t="s">
        <v>625</v>
      </c>
      <c r="D291" s="94" t="s">
        <v>14</v>
      </c>
      <c r="E291" s="104">
        <v>0.104</v>
      </c>
      <c r="F291" s="105"/>
    </row>
    <row r="292" spans="1:6" s="30" customFormat="1" ht="23.25" x14ac:dyDescent="0.4">
      <c r="A292" s="54" t="s">
        <v>305</v>
      </c>
      <c r="B292" s="55" t="s">
        <v>872</v>
      </c>
      <c r="C292" s="93" t="s">
        <v>873</v>
      </c>
      <c r="D292" s="94" t="s">
        <v>508</v>
      </c>
      <c r="E292" s="106">
        <v>1.9</v>
      </c>
      <c r="F292" s="107"/>
    </row>
    <row r="293" spans="1:6" s="30" customFormat="1" x14ac:dyDescent="0.4">
      <c r="A293" s="51"/>
      <c r="B293" s="52"/>
      <c r="C293" s="110" t="s">
        <v>610</v>
      </c>
      <c r="D293" s="110"/>
      <c r="E293" s="52"/>
      <c r="F293" s="88"/>
    </row>
    <row r="294" spans="1:6" s="30" customFormat="1" x14ac:dyDescent="0.4">
      <c r="A294" s="54" t="s">
        <v>306</v>
      </c>
      <c r="B294" s="55" t="s">
        <v>615</v>
      </c>
      <c r="C294" s="93" t="s">
        <v>616</v>
      </c>
      <c r="D294" s="94" t="s">
        <v>991</v>
      </c>
      <c r="E294" s="106">
        <v>0.30980000000000002</v>
      </c>
      <c r="F294" s="107"/>
    </row>
    <row r="295" spans="1:6" s="30" customFormat="1" ht="23.25" x14ac:dyDescent="0.4">
      <c r="A295" s="54" t="s">
        <v>307</v>
      </c>
      <c r="B295" s="55" t="s">
        <v>34</v>
      </c>
      <c r="C295" s="93" t="s">
        <v>558</v>
      </c>
      <c r="D295" s="94" t="s">
        <v>14</v>
      </c>
      <c r="E295" s="104">
        <v>1.2250000000000001</v>
      </c>
      <c r="F295" s="105"/>
    </row>
    <row r="296" spans="1:6" s="30" customFormat="1" ht="23.25" x14ac:dyDescent="0.4">
      <c r="A296" s="54" t="s">
        <v>308</v>
      </c>
      <c r="B296" s="55" t="s">
        <v>34</v>
      </c>
      <c r="C296" s="93" t="s">
        <v>564</v>
      </c>
      <c r="D296" s="94" t="s">
        <v>14</v>
      </c>
      <c r="E296" s="104">
        <v>6.17</v>
      </c>
      <c r="F296" s="105"/>
    </row>
    <row r="297" spans="1:6" s="30" customFormat="1" ht="23.25" x14ac:dyDescent="0.4">
      <c r="A297" s="54" t="s">
        <v>310</v>
      </c>
      <c r="B297" s="55" t="s">
        <v>34</v>
      </c>
      <c r="C297" s="93" t="s">
        <v>517</v>
      </c>
      <c r="D297" s="94" t="s">
        <v>14</v>
      </c>
      <c r="E297" s="104">
        <v>4.484</v>
      </c>
      <c r="F297" s="105"/>
    </row>
    <row r="298" spans="1:6" s="30" customFormat="1" x14ac:dyDescent="0.4">
      <c r="A298" s="51"/>
      <c r="B298" s="52"/>
      <c r="C298" s="110" t="s">
        <v>631</v>
      </c>
      <c r="D298" s="110"/>
      <c r="E298" s="52"/>
      <c r="F298" s="88"/>
    </row>
    <row r="299" spans="1:6" s="30" customFormat="1" x14ac:dyDescent="0.4">
      <c r="A299" s="54" t="s">
        <v>311</v>
      </c>
      <c r="B299" s="55" t="s">
        <v>639</v>
      </c>
      <c r="C299" s="93" t="s">
        <v>875</v>
      </c>
      <c r="D299" s="94" t="s">
        <v>989</v>
      </c>
      <c r="E299" s="106">
        <v>3.992</v>
      </c>
      <c r="F299" s="107"/>
    </row>
    <row r="300" spans="1:6" s="30" customFormat="1" x14ac:dyDescent="0.4">
      <c r="A300" s="54" t="s">
        <v>312</v>
      </c>
      <c r="B300" s="55" t="s">
        <v>646</v>
      </c>
      <c r="C300" s="93" t="s">
        <v>647</v>
      </c>
      <c r="D300" s="94" t="s">
        <v>989</v>
      </c>
      <c r="E300" s="106">
        <v>5.0999999999999996</v>
      </c>
      <c r="F300" s="107"/>
    </row>
    <row r="301" spans="1:6" s="30" customFormat="1" x14ac:dyDescent="0.4">
      <c r="A301" s="54" t="s">
        <v>316</v>
      </c>
      <c r="B301" s="55" t="s">
        <v>639</v>
      </c>
      <c r="C301" s="93" t="s">
        <v>876</v>
      </c>
      <c r="D301" s="94" t="s">
        <v>989</v>
      </c>
      <c r="E301" s="106">
        <v>3.2</v>
      </c>
      <c r="F301" s="107"/>
    </row>
    <row r="302" spans="1:6" s="30" customFormat="1" ht="34.9" x14ac:dyDescent="0.4">
      <c r="A302" s="54" t="s">
        <v>317</v>
      </c>
      <c r="B302" s="55" t="s">
        <v>650</v>
      </c>
      <c r="C302" s="93" t="s">
        <v>877</v>
      </c>
      <c r="D302" s="94" t="s">
        <v>651</v>
      </c>
      <c r="E302" s="106">
        <v>5.0999999999999996</v>
      </c>
      <c r="F302" s="107"/>
    </row>
    <row r="303" spans="1:6" s="30" customFormat="1" x14ac:dyDescent="0.4">
      <c r="A303" s="54" t="s">
        <v>318</v>
      </c>
      <c r="B303" s="55" t="s">
        <v>879</v>
      </c>
      <c r="C303" s="93" t="s">
        <v>632</v>
      </c>
      <c r="D303" s="94" t="s">
        <v>988</v>
      </c>
      <c r="E303" s="106">
        <v>5.0999999999999996</v>
      </c>
      <c r="F303" s="107"/>
    </row>
    <row r="304" spans="1:6" s="30" customFormat="1" x14ac:dyDescent="0.4">
      <c r="A304" s="54" t="s">
        <v>319</v>
      </c>
      <c r="B304" s="55" t="s">
        <v>34</v>
      </c>
      <c r="C304" s="93" t="s">
        <v>880</v>
      </c>
      <c r="D304" s="94" t="s">
        <v>31</v>
      </c>
      <c r="E304" s="108">
        <v>60</v>
      </c>
      <c r="F304" s="109"/>
    </row>
    <row r="305" spans="1:6" s="30" customFormat="1" x14ac:dyDescent="0.4">
      <c r="A305" s="54" t="s">
        <v>320</v>
      </c>
      <c r="B305" s="55" t="s">
        <v>655</v>
      </c>
      <c r="C305" s="93" t="s">
        <v>656</v>
      </c>
      <c r="D305" s="94" t="s">
        <v>453</v>
      </c>
      <c r="E305" s="106">
        <v>0.44</v>
      </c>
      <c r="F305" s="107"/>
    </row>
    <row r="306" spans="1:6" s="30" customFormat="1" x14ac:dyDescent="0.4">
      <c r="A306" s="54" t="s">
        <v>321</v>
      </c>
      <c r="B306" s="55" t="s">
        <v>659</v>
      </c>
      <c r="C306" s="93" t="s">
        <v>660</v>
      </c>
      <c r="D306" s="94" t="s">
        <v>661</v>
      </c>
      <c r="E306" s="106">
        <v>1.6</v>
      </c>
      <c r="F306" s="107"/>
    </row>
    <row r="307" spans="1:6" s="30" customFormat="1" x14ac:dyDescent="0.4">
      <c r="A307" s="51"/>
      <c r="B307" s="52"/>
      <c r="C307" s="110" t="s">
        <v>663</v>
      </c>
      <c r="D307" s="110"/>
      <c r="E307" s="52"/>
      <c r="F307" s="88"/>
    </row>
    <row r="308" spans="1:6" s="30" customFormat="1" ht="58.15" x14ac:dyDescent="0.4">
      <c r="A308" s="54" t="s">
        <v>322</v>
      </c>
      <c r="B308" s="55" t="s">
        <v>672</v>
      </c>
      <c r="C308" s="93" t="s">
        <v>881</v>
      </c>
      <c r="D308" s="94" t="s">
        <v>664</v>
      </c>
      <c r="E308" s="106">
        <v>29.8</v>
      </c>
      <c r="F308" s="107"/>
    </row>
    <row r="309" spans="1:6" s="30" customFormat="1" ht="23.25" x14ac:dyDescent="0.4">
      <c r="A309" s="54" t="s">
        <v>323</v>
      </c>
      <c r="B309" s="55" t="s">
        <v>675</v>
      </c>
      <c r="C309" s="93" t="s">
        <v>676</v>
      </c>
      <c r="D309" s="94" t="s">
        <v>572</v>
      </c>
      <c r="E309" s="106">
        <v>29.8</v>
      </c>
      <c r="F309" s="107"/>
    </row>
    <row r="310" spans="1:6" s="30" customFormat="1" x14ac:dyDescent="0.4">
      <c r="A310" s="54" t="s">
        <v>324</v>
      </c>
      <c r="B310" s="55" t="s">
        <v>34</v>
      </c>
      <c r="C310" s="93" t="s">
        <v>682</v>
      </c>
      <c r="D310" s="94" t="s">
        <v>76</v>
      </c>
      <c r="E310" s="108">
        <v>14900</v>
      </c>
      <c r="F310" s="109"/>
    </row>
    <row r="311" spans="1:6" s="30" customFormat="1" x14ac:dyDescent="0.4">
      <c r="A311" s="54" t="s">
        <v>325</v>
      </c>
      <c r="B311" s="55" t="s">
        <v>34</v>
      </c>
      <c r="C311" s="93" t="s">
        <v>683</v>
      </c>
      <c r="D311" s="94" t="s">
        <v>30</v>
      </c>
      <c r="E311" s="108">
        <v>23691</v>
      </c>
      <c r="F311" s="109"/>
    </row>
    <row r="312" spans="1:6" s="30" customFormat="1" x14ac:dyDescent="0.4">
      <c r="A312" s="54" t="s">
        <v>326</v>
      </c>
      <c r="B312" s="55" t="s">
        <v>34</v>
      </c>
      <c r="C312" s="93" t="s">
        <v>684</v>
      </c>
      <c r="D312" s="94" t="s">
        <v>76</v>
      </c>
      <c r="E312" s="108">
        <v>11920</v>
      </c>
      <c r="F312" s="109"/>
    </row>
    <row r="313" spans="1:6" s="30" customFormat="1" x14ac:dyDescent="0.4">
      <c r="A313" s="54" t="s">
        <v>327</v>
      </c>
      <c r="B313" s="55" t="s">
        <v>34</v>
      </c>
      <c r="C313" s="93" t="s">
        <v>685</v>
      </c>
      <c r="D313" s="94" t="s">
        <v>30</v>
      </c>
      <c r="E313" s="108">
        <v>258</v>
      </c>
      <c r="F313" s="109"/>
    </row>
    <row r="314" spans="1:6" s="30" customFormat="1" ht="23.25" x14ac:dyDescent="0.4">
      <c r="A314" s="54" t="s">
        <v>328</v>
      </c>
      <c r="B314" s="55" t="s">
        <v>34</v>
      </c>
      <c r="C314" s="93" t="s">
        <v>686</v>
      </c>
      <c r="D314" s="94" t="s">
        <v>21</v>
      </c>
      <c r="E314" s="104">
        <v>3337.6</v>
      </c>
      <c r="F314" s="105"/>
    </row>
    <row r="315" spans="1:6" s="30" customFormat="1" x14ac:dyDescent="0.4">
      <c r="A315" s="54" t="s">
        <v>329</v>
      </c>
      <c r="B315" s="55" t="s">
        <v>34</v>
      </c>
      <c r="C315" s="93" t="s">
        <v>687</v>
      </c>
      <c r="D315" s="94" t="s">
        <v>21</v>
      </c>
      <c r="E315" s="108">
        <v>2980</v>
      </c>
      <c r="F315" s="109"/>
    </row>
    <row r="316" spans="1:6" s="30" customFormat="1" ht="34.9" x14ac:dyDescent="0.4">
      <c r="A316" s="54" t="s">
        <v>330</v>
      </c>
      <c r="B316" s="55" t="s">
        <v>882</v>
      </c>
      <c r="C316" s="93" t="s">
        <v>883</v>
      </c>
      <c r="D316" s="94" t="s">
        <v>884</v>
      </c>
      <c r="E316" s="106">
        <v>17.8</v>
      </c>
      <c r="F316" s="107"/>
    </row>
    <row r="317" spans="1:6" s="30" customFormat="1" x14ac:dyDescent="0.4">
      <c r="A317" s="54" t="s">
        <v>331</v>
      </c>
      <c r="B317" s="55" t="s">
        <v>887</v>
      </c>
      <c r="C317" s="93" t="s">
        <v>888</v>
      </c>
      <c r="D317" s="94" t="s">
        <v>508</v>
      </c>
      <c r="E317" s="111">
        <v>12</v>
      </c>
      <c r="F317" s="112"/>
    </row>
    <row r="318" spans="1:6" s="30" customFormat="1" x14ac:dyDescent="0.4">
      <c r="A318" s="54" t="s">
        <v>332</v>
      </c>
      <c r="B318" s="55" t="s">
        <v>891</v>
      </c>
      <c r="C318" s="93" t="s">
        <v>892</v>
      </c>
      <c r="D318" s="94" t="s">
        <v>508</v>
      </c>
      <c r="E318" s="111">
        <v>12</v>
      </c>
      <c r="F318" s="112"/>
    </row>
    <row r="319" spans="1:6" s="30" customFormat="1" ht="58.15" x14ac:dyDescent="0.4">
      <c r="A319" s="54" t="s">
        <v>333</v>
      </c>
      <c r="B319" s="55" t="s">
        <v>894</v>
      </c>
      <c r="C319" s="93" t="s">
        <v>895</v>
      </c>
      <c r="D319" s="94" t="s">
        <v>703</v>
      </c>
      <c r="E319" s="111">
        <v>12</v>
      </c>
      <c r="F319" s="112"/>
    </row>
    <row r="320" spans="1:6" s="30" customFormat="1" ht="23.25" x14ac:dyDescent="0.4">
      <c r="A320" s="54" t="s">
        <v>334</v>
      </c>
      <c r="B320" s="55" t="s">
        <v>896</v>
      </c>
      <c r="C320" s="93" t="s">
        <v>897</v>
      </c>
      <c r="D320" s="94" t="s">
        <v>898</v>
      </c>
      <c r="E320" s="106">
        <v>9.5</v>
      </c>
      <c r="F320" s="107"/>
    </row>
    <row r="321" spans="1:6" s="30" customFormat="1" ht="34.9" x14ac:dyDescent="0.4">
      <c r="A321" s="54" t="s">
        <v>335</v>
      </c>
      <c r="B321" s="55" t="s">
        <v>882</v>
      </c>
      <c r="C321" s="93" t="s">
        <v>899</v>
      </c>
      <c r="D321" s="94" t="s">
        <v>884</v>
      </c>
      <c r="E321" s="106">
        <v>1.5</v>
      </c>
      <c r="F321" s="107"/>
    </row>
    <row r="322" spans="1:6" s="30" customFormat="1" ht="46.5" x14ac:dyDescent="0.4">
      <c r="A322" s="54" t="s">
        <v>336</v>
      </c>
      <c r="B322" s="55" t="s">
        <v>900</v>
      </c>
      <c r="C322" s="93" t="s">
        <v>901</v>
      </c>
      <c r="D322" s="94" t="s">
        <v>453</v>
      </c>
      <c r="E322" s="106">
        <v>0.6</v>
      </c>
      <c r="F322" s="107"/>
    </row>
    <row r="323" spans="1:6" s="30" customFormat="1" x14ac:dyDescent="0.4">
      <c r="A323" s="54" t="s">
        <v>337</v>
      </c>
      <c r="B323" s="55" t="s">
        <v>887</v>
      </c>
      <c r="C323" s="93" t="s">
        <v>888</v>
      </c>
      <c r="D323" s="94" t="s">
        <v>508</v>
      </c>
      <c r="E323" s="106">
        <v>0.4</v>
      </c>
      <c r="F323" s="107"/>
    </row>
    <row r="324" spans="1:6" s="30" customFormat="1" x14ac:dyDescent="0.4">
      <c r="A324" s="54" t="s">
        <v>338</v>
      </c>
      <c r="B324" s="55" t="s">
        <v>891</v>
      </c>
      <c r="C324" s="93" t="s">
        <v>892</v>
      </c>
      <c r="D324" s="94" t="s">
        <v>508</v>
      </c>
      <c r="E324" s="106">
        <v>0.4</v>
      </c>
      <c r="F324" s="107"/>
    </row>
    <row r="325" spans="1:6" s="30" customFormat="1" ht="58.15" x14ac:dyDescent="0.4">
      <c r="A325" s="54" t="s">
        <v>339</v>
      </c>
      <c r="B325" s="55" t="s">
        <v>894</v>
      </c>
      <c r="C325" s="93" t="s">
        <v>905</v>
      </c>
      <c r="D325" s="94" t="s">
        <v>703</v>
      </c>
      <c r="E325" s="111">
        <v>4</v>
      </c>
      <c r="F325" s="112"/>
    </row>
    <row r="326" spans="1:6" s="30" customFormat="1" ht="23.25" x14ac:dyDescent="0.4">
      <c r="A326" s="54" t="s">
        <v>340</v>
      </c>
      <c r="B326" s="55" t="s">
        <v>906</v>
      </c>
      <c r="C326" s="93" t="s">
        <v>907</v>
      </c>
      <c r="D326" s="94" t="s">
        <v>988</v>
      </c>
      <c r="E326" s="106">
        <v>0.3</v>
      </c>
      <c r="F326" s="107"/>
    </row>
    <row r="327" spans="1:6" s="30" customFormat="1" ht="34.9" x14ac:dyDescent="0.4">
      <c r="A327" s="54" t="s">
        <v>341</v>
      </c>
      <c r="B327" s="55" t="s">
        <v>795</v>
      </c>
      <c r="C327" s="93" t="s">
        <v>924</v>
      </c>
      <c r="D327" s="94" t="s">
        <v>796</v>
      </c>
      <c r="E327" s="106">
        <v>1.2</v>
      </c>
      <c r="F327" s="107"/>
    </row>
    <row r="328" spans="1:6" s="30" customFormat="1" x14ac:dyDescent="0.4">
      <c r="A328" s="54" t="s">
        <v>342</v>
      </c>
      <c r="B328" s="55" t="s">
        <v>34</v>
      </c>
      <c r="C328" s="93" t="s">
        <v>925</v>
      </c>
      <c r="D328" s="94" t="s">
        <v>31</v>
      </c>
      <c r="E328" s="108">
        <v>120</v>
      </c>
      <c r="F328" s="109"/>
    </row>
    <row r="329" spans="1:6" s="30" customFormat="1" ht="46.5" x14ac:dyDescent="0.4">
      <c r="A329" s="54" t="s">
        <v>343</v>
      </c>
      <c r="B329" s="55" t="s">
        <v>926</v>
      </c>
      <c r="C329" s="93" t="s">
        <v>927</v>
      </c>
      <c r="D329" s="94" t="s">
        <v>928</v>
      </c>
      <c r="E329" s="106">
        <v>1.8</v>
      </c>
      <c r="F329" s="107"/>
    </row>
    <row r="330" spans="1:6" s="30" customFormat="1" x14ac:dyDescent="0.4">
      <c r="A330" s="54" t="s">
        <v>344</v>
      </c>
      <c r="B330" s="55" t="s">
        <v>611</v>
      </c>
      <c r="C330" s="93" t="s">
        <v>612</v>
      </c>
      <c r="D330" s="94" t="s">
        <v>23</v>
      </c>
      <c r="E330" s="111">
        <v>24</v>
      </c>
      <c r="F330" s="112"/>
    </row>
    <row r="331" spans="1:6" s="30" customFormat="1" ht="23.25" x14ac:dyDescent="0.4">
      <c r="A331" s="54" t="s">
        <v>345</v>
      </c>
      <c r="B331" s="55" t="s">
        <v>472</v>
      </c>
      <c r="C331" s="93" t="s">
        <v>934</v>
      </c>
      <c r="D331" s="94" t="s">
        <v>313</v>
      </c>
      <c r="E331" s="106">
        <v>0.12</v>
      </c>
      <c r="F331" s="107"/>
    </row>
    <row r="332" spans="1:6" s="30" customFormat="1" ht="23.25" x14ac:dyDescent="0.4">
      <c r="A332" s="54" t="s">
        <v>346</v>
      </c>
      <c r="B332" s="55" t="s">
        <v>935</v>
      </c>
      <c r="C332" s="93" t="s">
        <v>936</v>
      </c>
      <c r="D332" s="94" t="s">
        <v>884</v>
      </c>
      <c r="E332" s="111">
        <v>2</v>
      </c>
      <c r="F332" s="112"/>
    </row>
    <row r="333" spans="1:6" s="30" customFormat="1" x14ac:dyDescent="0.4">
      <c r="A333" s="51"/>
      <c r="B333" s="52"/>
      <c r="C333" s="110" t="s">
        <v>938</v>
      </c>
      <c r="D333" s="110"/>
      <c r="E333" s="52"/>
      <c r="F333" s="88"/>
    </row>
    <row r="334" spans="1:6" s="30" customFormat="1" x14ac:dyDescent="0.4">
      <c r="A334" s="51"/>
      <c r="B334" s="52"/>
      <c r="C334" s="110" t="s">
        <v>706</v>
      </c>
      <c r="D334" s="110"/>
      <c r="E334" s="52"/>
      <c r="F334" s="88"/>
    </row>
    <row r="335" spans="1:6" s="30" customFormat="1" x14ac:dyDescent="0.4">
      <c r="A335" s="51"/>
      <c r="B335" s="52"/>
      <c r="C335" s="110" t="s">
        <v>939</v>
      </c>
      <c r="D335" s="110"/>
      <c r="E335" s="52"/>
      <c r="F335" s="88"/>
    </row>
    <row r="336" spans="1:6" s="30" customFormat="1" ht="58.15" x14ac:dyDescent="0.4">
      <c r="A336" s="54" t="s">
        <v>347</v>
      </c>
      <c r="B336" s="55" t="s">
        <v>707</v>
      </c>
      <c r="C336" s="93" t="s">
        <v>708</v>
      </c>
      <c r="D336" s="94" t="s">
        <v>664</v>
      </c>
      <c r="E336" s="106">
        <v>4.3159999999999998</v>
      </c>
      <c r="F336" s="107"/>
    </row>
    <row r="337" spans="1:6" s="30" customFormat="1" ht="58.15" x14ac:dyDescent="0.4">
      <c r="A337" s="54" t="s">
        <v>348</v>
      </c>
      <c r="B337" s="55" t="s">
        <v>709</v>
      </c>
      <c r="C337" s="93" t="s">
        <v>710</v>
      </c>
      <c r="D337" s="94" t="s">
        <v>703</v>
      </c>
      <c r="E337" s="106">
        <v>4.3159999999999998</v>
      </c>
      <c r="F337" s="107"/>
    </row>
    <row r="338" spans="1:6" s="30" customFormat="1" x14ac:dyDescent="0.4">
      <c r="A338" s="51"/>
      <c r="B338" s="52"/>
      <c r="C338" s="110" t="s">
        <v>940</v>
      </c>
      <c r="D338" s="110"/>
      <c r="E338" s="52"/>
      <c r="F338" s="88"/>
    </row>
    <row r="339" spans="1:6" s="30" customFormat="1" ht="23.25" x14ac:dyDescent="0.4">
      <c r="A339" s="54" t="s">
        <v>349</v>
      </c>
      <c r="B339" s="55" t="s">
        <v>941</v>
      </c>
      <c r="C339" s="93" t="s">
        <v>942</v>
      </c>
      <c r="D339" s="94" t="s">
        <v>508</v>
      </c>
      <c r="E339" s="106">
        <v>2.0459999999999998</v>
      </c>
      <c r="F339" s="107"/>
    </row>
    <row r="340" spans="1:6" s="30" customFormat="1" ht="58.15" x14ac:dyDescent="0.4">
      <c r="A340" s="54" t="s">
        <v>350</v>
      </c>
      <c r="B340" s="55" t="s">
        <v>707</v>
      </c>
      <c r="C340" s="93" t="s">
        <v>708</v>
      </c>
      <c r="D340" s="94" t="s">
        <v>664</v>
      </c>
      <c r="E340" s="106">
        <v>2.0459999999999998</v>
      </c>
      <c r="F340" s="107"/>
    </row>
    <row r="341" spans="1:6" s="30" customFormat="1" ht="58.15" x14ac:dyDescent="0.4">
      <c r="A341" s="54" t="s">
        <v>351</v>
      </c>
      <c r="B341" s="55" t="s">
        <v>955</v>
      </c>
      <c r="C341" s="93" t="s">
        <v>956</v>
      </c>
      <c r="D341" s="94" t="s">
        <v>664</v>
      </c>
      <c r="E341" s="106">
        <v>-2.0459999999999998</v>
      </c>
      <c r="F341" s="107"/>
    </row>
    <row r="342" spans="1:6" s="30" customFormat="1" ht="58.15" x14ac:dyDescent="0.4">
      <c r="A342" s="54" t="s">
        <v>352</v>
      </c>
      <c r="B342" s="55" t="s">
        <v>709</v>
      </c>
      <c r="C342" s="93" t="s">
        <v>710</v>
      </c>
      <c r="D342" s="94" t="s">
        <v>703</v>
      </c>
      <c r="E342" s="106">
        <v>2.0459999999999998</v>
      </c>
      <c r="F342" s="107"/>
    </row>
    <row r="343" spans="1:6" s="30" customFormat="1" x14ac:dyDescent="0.4">
      <c r="A343" s="51"/>
      <c r="B343" s="52"/>
      <c r="C343" s="110" t="s">
        <v>957</v>
      </c>
      <c r="D343" s="110"/>
      <c r="E343" s="52"/>
      <c r="F343" s="88"/>
    </row>
    <row r="344" spans="1:6" s="30" customFormat="1" ht="23.25" x14ac:dyDescent="0.4">
      <c r="A344" s="54" t="s">
        <v>353</v>
      </c>
      <c r="B344" s="55" t="s">
        <v>941</v>
      </c>
      <c r="C344" s="93" t="s">
        <v>942</v>
      </c>
      <c r="D344" s="94" t="s">
        <v>508</v>
      </c>
      <c r="E344" s="106">
        <v>14.574999999999999</v>
      </c>
      <c r="F344" s="107"/>
    </row>
    <row r="345" spans="1:6" s="30" customFormat="1" ht="58.15" x14ac:dyDescent="0.4">
      <c r="A345" s="54" t="s">
        <v>354</v>
      </c>
      <c r="B345" s="55" t="s">
        <v>707</v>
      </c>
      <c r="C345" s="93" t="s">
        <v>708</v>
      </c>
      <c r="D345" s="94" t="s">
        <v>664</v>
      </c>
      <c r="E345" s="106">
        <v>14.574999999999999</v>
      </c>
      <c r="F345" s="107"/>
    </row>
    <row r="346" spans="1:6" s="30" customFormat="1" ht="58.15" x14ac:dyDescent="0.4">
      <c r="A346" s="54" t="s">
        <v>355</v>
      </c>
      <c r="B346" s="55" t="s">
        <v>955</v>
      </c>
      <c r="C346" s="93" t="s">
        <v>956</v>
      </c>
      <c r="D346" s="94" t="s">
        <v>664</v>
      </c>
      <c r="E346" s="106">
        <v>-14.574999999999999</v>
      </c>
      <c r="F346" s="107"/>
    </row>
    <row r="347" spans="1:6" s="30" customFormat="1" ht="58.15" x14ac:dyDescent="0.4">
      <c r="A347" s="54" t="s">
        <v>356</v>
      </c>
      <c r="B347" s="55" t="s">
        <v>709</v>
      </c>
      <c r="C347" s="93" t="s">
        <v>710</v>
      </c>
      <c r="D347" s="94" t="s">
        <v>703</v>
      </c>
      <c r="E347" s="106">
        <v>14.574999999999999</v>
      </c>
      <c r="F347" s="107"/>
    </row>
    <row r="348" spans="1:6" s="30" customFormat="1" x14ac:dyDescent="0.4">
      <c r="A348" s="51"/>
      <c r="B348" s="52"/>
      <c r="C348" s="110" t="s">
        <v>958</v>
      </c>
      <c r="D348" s="110"/>
      <c r="E348" s="52"/>
      <c r="F348" s="88"/>
    </row>
    <row r="349" spans="1:6" s="30" customFormat="1" ht="58.15" x14ac:dyDescent="0.4">
      <c r="A349" s="54" t="s">
        <v>357</v>
      </c>
      <c r="B349" s="55" t="s">
        <v>959</v>
      </c>
      <c r="C349" s="93" t="s">
        <v>960</v>
      </c>
      <c r="D349" s="94" t="s">
        <v>664</v>
      </c>
      <c r="E349" s="106">
        <v>0.47599999999999998</v>
      </c>
      <c r="F349" s="107"/>
    </row>
    <row r="350" spans="1:6" s="30" customFormat="1" ht="58.15" x14ac:dyDescent="0.4">
      <c r="A350" s="54" t="s">
        <v>358</v>
      </c>
      <c r="B350" s="55" t="s">
        <v>707</v>
      </c>
      <c r="C350" s="93" t="s">
        <v>708</v>
      </c>
      <c r="D350" s="94" t="s">
        <v>664</v>
      </c>
      <c r="E350" s="106">
        <v>0.47599999999999998</v>
      </c>
      <c r="F350" s="107"/>
    </row>
    <row r="351" spans="1:6" s="30" customFormat="1" ht="58.15" x14ac:dyDescent="0.4">
      <c r="A351" s="54" t="s">
        <v>359</v>
      </c>
      <c r="B351" s="55" t="s">
        <v>955</v>
      </c>
      <c r="C351" s="93" t="s">
        <v>956</v>
      </c>
      <c r="D351" s="94" t="s">
        <v>664</v>
      </c>
      <c r="E351" s="106">
        <v>-0.47599999999999998</v>
      </c>
      <c r="F351" s="107"/>
    </row>
    <row r="352" spans="1:6" s="30" customFormat="1" ht="58.15" x14ac:dyDescent="0.4">
      <c r="A352" s="54" t="s">
        <v>360</v>
      </c>
      <c r="B352" s="55" t="s">
        <v>709</v>
      </c>
      <c r="C352" s="93" t="s">
        <v>710</v>
      </c>
      <c r="D352" s="94" t="s">
        <v>703</v>
      </c>
      <c r="E352" s="106">
        <v>0.47599999999999998</v>
      </c>
      <c r="F352" s="107"/>
    </row>
    <row r="353" spans="1:6" s="30" customFormat="1" x14ac:dyDescent="0.4">
      <c r="A353" s="51"/>
      <c r="B353" s="52"/>
      <c r="C353" s="110" t="s">
        <v>961</v>
      </c>
      <c r="D353" s="110"/>
      <c r="E353" s="52"/>
      <c r="F353" s="88"/>
    </row>
    <row r="354" spans="1:6" s="30" customFormat="1" ht="23.25" x14ac:dyDescent="0.4">
      <c r="A354" s="54" t="s">
        <v>361</v>
      </c>
      <c r="B354" s="55" t="s">
        <v>941</v>
      </c>
      <c r="C354" s="93" t="s">
        <v>942</v>
      </c>
      <c r="D354" s="94" t="s">
        <v>508</v>
      </c>
      <c r="E354" s="106">
        <v>25.628</v>
      </c>
      <c r="F354" s="107"/>
    </row>
    <row r="355" spans="1:6" s="30" customFormat="1" ht="58.15" x14ac:dyDescent="0.4">
      <c r="A355" s="54" t="s">
        <v>362</v>
      </c>
      <c r="B355" s="55" t="s">
        <v>707</v>
      </c>
      <c r="C355" s="93" t="s">
        <v>708</v>
      </c>
      <c r="D355" s="94" t="s">
        <v>664</v>
      </c>
      <c r="E355" s="106">
        <v>25.628</v>
      </c>
      <c r="F355" s="107"/>
    </row>
    <row r="356" spans="1:6" s="30" customFormat="1" ht="58.15" x14ac:dyDescent="0.4">
      <c r="A356" s="54" t="s">
        <v>363</v>
      </c>
      <c r="B356" s="55" t="s">
        <v>955</v>
      </c>
      <c r="C356" s="93" t="s">
        <v>956</v>
      </c>
      <c r="D356" s="94" t="s">
        <v>664</v>
      </c>
      <c r="E356" s="106">
        <v>-25.628</v>
      </c>
      <c r="F356" s="107"/>
    </row>
    <row r="357" spans="1:6" s="30" customFormat="1" ht="58.15" x14ac:dyDescent="0.4">
      <c r="A357" s="54" t="s">
        <v>364</v>
      </c>
      <c r="B357" s="55" t="s">
        <v>709</v>
      </c>
      <c r="C357" s="93" t="s">
        <v>710</v>
      </c>
      <c r="D357" s="94" t="s">
        <v>703</v>
      </c>
      <c r="E357" s="106">
        <v>25.628</v>
      </c>
      <c r="F357" s="107"/>
    </row>
    <row r="358" spans="1:6" s="30" customFormat="1" x14ac:dyDescent="0.4">
      <c r="A358" s="51"/>
      <c r="B358" s="52"/>
      <c r="C358" s="110" t="s">
        <v>962</v>
      </c>
      <c r="D358" s="110"/>
      <c r="E358" s="52"/>
      <c r="F358" s="88"/>
    </row>
    <row r="359" spans="1:6" s="30" customFormat="1" ht="46.5" x14ac:dyDescent="0.4">
      <c r="A359" s="54" t="s">
        <v>365</v>
      </c>
      <c r="B359" s="55" t="s">
        <v>926</v>
      </c>
      <c r="C359" s="93" t="s">
        <v>963</v>
      </c>
      <c r="D359" s="94" t="s">
        <v>928</v>
      </c>
      <c r="E359" s="106">
        <v>2.2160000000000002</v>
      </c>
      <c r="F359" s="107"/>
    </row>
    <row r="360" spans="1:6" s="30" customFormat="1" x14ac:dyDescent="0.4">
      <c r="A360" s="51"/>
      <c r="B360" s="52"/>
      <c r="C360" s="110" t="s">
        <v>964</v>
      </c>
      <c r="D360" s="110"/>
      <c r="E360" s="52"/>
      <c r="F360" s="88"/>
    </row>
    <row r="361" spans="1:6" s="30" customFormat="1" ht="23.25" x14ac:dyDescent="0.4">
      <c r="A361" s="54" t="s">
        <v>366</v>
      </c>
      <c r="B361" s="55" t="s">
        <v>941</v>
      </c>
      <c r="C361" s="93" t="s">
        <v>942</v>
      </c>
      <c r="D361" s="94" t="s">
        <v>508</v>
      </c>
      <c r="E361" s="106">
        <v>6.1719999999999997</v>
      </c>
      <c r="F361" s="107"/>
    </row>
    <row r="362" spans="1:6" s="30" customFormat="1" ht="58.15" x14ac:dyDescent="0.4">
      <c r="A362" s="54" t="s">
        <v>367</v>
      </c>
      <c r="B362" s="55" t="s">
        <v>707</v>
      </c>
      <c r="C362" s="93" t="s">
        <v>708</v>
      </c>
      <c r="D362" s="94" t="s">
        <v>664</v>
      </c>
      <c r="E362" s="106">
        <v>6.1719999999999997</v>
      </c>
      <c r="F362" s="107"/>
    </row>
    <row r="363" spans="1:6" s="30" customFormat="1" ht="58.15" x14ac:dyDescent="0.4">
      <c r="A363" s="54" t="s">
        <v>368</v>
      </c>
      <c r="B363" s="55" t="s">
        <v>955</v>
      </c>
      <c r="C363" s="93" t="s">
        <v>956</v>
      </c>
      <c r="D363" s="94" t="s">
        <v>664</v>
      </c>
      <c r="E363" s="106">
        <v>-6.1719999999999997</v>
      </c>
      <c r="F363" s="107"/>
    </row>
    <row r="364" spans="1:6" s="30" customFormat="1" ht="58.15" x14ac:dyDescent="0.4">
      <c r="A364" s="54" t="s">
        <v>369</v>
      </c>
      <c r="B364" s="55" t="s">
        <v>709</v>
      </c>
      <c r="C364" s="93" t="s">
        <v>710</v>
      </c>
      <c r="D364" s="94" t="s">
        <v>703</v>
      </c>
      <c r="E364" s="106">
        <v>6.1719999999999997</v>
      </c>
      <c r="F364" s="107"/>
    </row>
    <row r="365" spans="1:6" s="30" customFormat="1" x14ac:dyDescent="0.4">
      <c r="A365" s="51"/>
      <c r="B365" s="52"/>
      <c r="C365" s="110" t="s">
        <v>965</v>
      </c>
      <c r="D365" s="110"/>
      <c r="E365" s="52"/>
      <c r="F365" s="88"/>
    </row>
    <row r="366" spans="1:6" s="30" customFormat="1" ht="58.15" x14ac:dyDescent="0.4">
      <c r="A366" s="54" t="s">
        <v>371</v>
      </c>
      <c r="B366" s="55" t="s">
        <v>707</v>
      </c>
      <c r="C366" s="93" t="s">
        <v>708</v>
      </c>
      <c r="D366" s="94" t="s">
        <v>664</v>
      </c>
      <c r="E366" s="106">
        <v>1.5029999999999999</v>
      </c>
      <c r="F366" s="107"/>
    </row>
    <row r="367" spans="1:6" s="30" customFormat="1" ht="58.15" x14ac:dyDescent="0.4">
      <c r="A367" s="54" t="s">
        <v>372</v>
      </c>
      <c r="B367" s="55" t="s">
        <v>709</v>
      </c>
      <c r="C367" s="93" t="s">
        <v>710</v>
      </c>
      <c r="D367" s="94" t="s">
        <v>703</v>
      </c>
      <c r="E367" s="106">
        <v>1.5029999999999999</v>
      </c>
      <c r="F367" s="107"/>
    </row>
    <row r="368" spans="1:6" s="30" customFormat="1" x14ac:dyDescent="0.4">
      <c r="A368" s="51"/>
      <c r="B368" s="52"/>
      <c r="C368" s="110" t="s">
        <v>692</v>
      </c>
      <c r="D368" s="110"/>
      <c r="E368" s="52"/>
      <c r="F368" s="88"/>
    </row>
    <row r="369" spans="1:6" s="30" customFormat="1" x14ac:dyDescent="0.4">
      <c r="A369" s="51"/>
      <c r="B369" s="52"/>
      <c r="C369" s="110" t="s">
        <v>939</v>
      </c>
      <c r="D369" s="110"/>
      <c r="E369" s="52"/>
      <c r="F369" s="88"/>
    </row>
    <row r="370" spans="1:6" s="30" customFormat="1" ht="58.15" x14ac:dyDescent="0.4">
      <c r="A370" s="54" t="s">
        <v>373</v>
      </c>
      <c r="B370" s="55" t="s">
        <v>693</v>
      </c>
      <c r="C370" s="93" t="s">
        <v>694</v>
      </c>
      <c r="D370" s="94" t="s">
        <v>664</v>
      </c>
      <c r="E370" s="106">
        <v>9.0739999999999998</v>
      </c>
      <c r="F370" s="107"/>
    </row>
    <row r="371" spans="1:6" s="30" customFormat="1" ht="58.15" x14ac:dyDescent="0.4">
      <c r="A371" s="54" t="s">
        <v>374</v>
      </c>
      <c r="B371" s="55" t="s">
        <v>966</v>
      </c>
      <c r="C371" s="93" t="s">
        <v>697</v>
      </c>
      <c r="D371" s="94" t="s">
        <v>664</v>
      </c>
      <c r="E371" s="106">
        <v>9.0739999999999998</v>
      </c>
      <c r="F371" s="107"/>
    </row>
    <row r="372" spans="1:6" s="30" customFormat="1" ht="58.15" x14ac:dyDescent="0.4">
      <c r="A372" s="54" t="s">
        <v>375</v>
      </c>
      <c r="B372" s="55" t="s">
        <v>967</v>
      </c>
      <c r="C372" s="93" t="s">
        <v>700</v>
      </c>
      <c r="D372" s="94" t="s">
        <v>664</v>
      </c>
      <c r="E372" s="106">
        <v>-9.0739999999999998</v>
      </c>
      <c r="F372" s="107"/>
    </row>
    <row r="373" spans="1:6" s="30" customFormat="1" ht="58.15" x14ac:dyDescent="0.4">
      <c r="A373" s="54" t="s">
        <v>376</v>
      </c>
      <c r="B373" s="55" t="s">
        <v>701</v>
      </c>
      <c r="C373" s="93" t="s">
        <v>702</v>
      </c>
      <c r="D373" s="94" t="s">
        <v>703</v>
      </c>
      <c r="E373" s="106">
        <v>9.0739999999999998</v>
      </c>
      <c r="F373" s="107"/>
    </row>
    <row r="374" spans="1:6" s="30" customFormat="1" x14ac:dyDescent="0.4">
      <c r="A374" s="51"/>
      <c r="B374" s="52"/>
      <c r="C374" s="110" t="s">
        <v>940</v>
      </c>
      <c r="D374" s="110"/>
      <c r="E374" s="52"/>
      <c r="F374" s="88"/>
    </row>
    <row r="375" spans="1:6" s="30" customFormat="1" ht="58.15" x14ac:dyDescent="0.4">
      <c r="A375" s="54" t="s">
        <v>377</v>
      </c>
      <c r="B375" s="55" t="s">
        <v>693</v>
      </c>
      <c r="C375" s="93" t="s">
        <v>694</v>
      </c>
      <c r="D375" s="94" t="s">
        <v>664</v>
      </c>
      <c r="E375" s="106">
        <v>6.9429999999999996</v>
      </c>
      <c r="F375" s="107"/>
    </row>
    <row r="376" spans="1:6" s="30" customFormat="1" ht="58.15" x14ac:dyDescent="0.4">
      <c r="A376" s="54" t="s">
        <v>378</v>
      </c>
      <c r="B376" s="55" t="s">
        <v>966</v>
      </c>
      <c r="C376" s="93" t="s">
        <v>697</v>
      </c>
      <c r="D376" s="94" t="s">
        <v>664</v>
      </c>
      <c r="E376" s="106">
        <v>6.9429999999999996</v>
      </c>
      <c r="F376" s="107"/>
    </row>
    <row r="377" spans="1:6" s="30" customFormat="1" ht="58.15" x14ac:dyDescent="0.4">
      <c r="A377" s="54" t="s">
        <v>379</v>
      </c>
      <c r="B377" s="55" t="s">
        <v>967</v>
      </c>
      <c r="C377" s="93" t="s">
        <v>700</v>
      </c>
      <c r="D377" s="94" t="s">
        <v>664</v>
      </c>
      <c r="E377" s="106">
        <v>-6.9429999999999996</v>
      </c>
      <c r="F377" s="107"/>
    </row>
    <row r="378" spans="1:6" s="30" customFormat="1" ht="58.15" x14ac:dyDescent="0.4">
      <c r="A378" s="54" t="s">
        <v>380</v>
      </c>
      <c r="B378" s="55" t="s">
        <v>701</v>
      </c>
      <c r="C378" s="93" t="s">
        <v>702</v>
      </c>
      <c r="D378" s="94" t="s">
        <v>703</v>
      </c>
      <c r="E378" s="106">
        <v>6.9429999999999996</v>
      </c>
      <c r="F378" s="107"/>
    </row>
    <row r="379" spans="1:6" s="30" customFormat="1" x14ac:dyDescent="0.4">
      <c r="A379" s="51"/>
      <c r="B379" s="52"/>
      <c r="C379" s="110" t="s">
        <v>957</v>
      </c>
      <c r="D379" s="110"/>
      <c r="E379" s="52"/>
      <c r="F379" s="88"/>
    </row>
    <row r="380" spans="1:6" s="30" customFormat="1" ht="58.15" x14ac:dyDescent="0.4">
      <c r="A380" s="54" t="s">
        <v>381</v>
      </c>
      <c r="B380" s="55" t="s">
        <v>693</v>
      </c>
      <c r="C380" s="93" t="s">
        <v>694</v>
      </c>
      <c r="D380" s="94" t="s">
        <v>664</v>
      </c>
      <c r="E380" s="106">
        <v>25.302</v>
      </c>
      <c r="F380" s="107"/>
    </row>
    <row r="381" spans="1:6" s="30" customFormat="1" ht="58.15" x14ac:dyDescent="0.4">
      <c r="A381" s="54" t="s">
        <v>382</v>
      </c>
      <c r="B381" s="55" t="s">
        <v>966</v>
      </c>
      <c r="C381" s="93" t="s">
        <v>697</v>
      </c>
      <c r="D381" s="94" t="s">
        <v>664</v>
      </c>
      <c r="E381" s="106">
        <v>25.302</v>
      </c>
      <c r="F381" s="107"/>
    </row>
    <row r="382" spans="1:6" s="30" customFormat="1" ht="58.15" x14ac:dyDescent="0.4">
      <c r="A382" s="54" t="s">
        <v>383</v>
      </c>
      <c r="B382" s="55" t="s">
        <v>967</v>
      </c>
      <c r="C382" s="93" t="s">
        <v>700</v>
      </c>
      <c r="D382" s="94" t="s">
        <v>664</v>
      </c>
      <c r="E382" s="106">
        <v>-25.302</v>
      </c>
      <c r="F382" s="107"/>
    </row>
    <row r="383" spans="1:6" s="30" customFormat="1" ht="58.15" x14ac:dyDescent="0.4">
      <c r="A383" s="54" t="s">
        <v>384</v>
      </c>
      <c r="B383" s="55" t="s">
        <v>701</v>
      </c>
      <c r="C383" s="93" t="s">
        <v>702</v>
      </c>
      <c r="D383" s="94" t="s">
        <v>703</v>
      </c>
      <c r="E383" s="106">
        <v>25.302</v>
      </c>
      <c r="F383" s="107"/>
    </row>
    <row r="384" spans="1:6" s="30" customFormat="1" x14ac:dyDescent="0.4">
      <c r="A384" s="51"/>
      <c r="B384" s="52"/>
      <c r="C384" s="110" t="s">
        <v>958</v>
      </c>
      <c r="D384" s="110"/>
      <c r="E384" s="52"/>
      <c r="F384" s="88"/>
    </row>
    <row r="385" spans="1:6" s="30" customFormat="1" ht="58.15" x14ac:dyDescent="0.4">
      <c r="A385" s="54" t="s">
        <v>385</v>
      </c>
      <c r="B385" s="55" t="s">
        <v>693</v>
      </c>
      <c r="C385" s="93" t="s">
        <v>694</v>
      </c>
      <c r="D385" s="94" t="s">
        <v>664</v>
      </c>
      <c r="E385" s="106">
        <v>1.052</v>
      </c>
      <c r="F385" s="107"/>
    </row>
    <row r="386" spans="1:6" s="30" customFormat="1" ht="58.15" x14ac:dyDescent="0.4">
      <c r="A386" s="54" t="s">
        <v>386</v>
      </c>
      <c r="B386" s="55" t="s">
        <v>966</v>
      </c>
      <c r="C386" s="93" t="s">
        <v>697</v>
      </c>
      <c r="D386" s="94" t="s">
        <v>664</v>
      </c>
      <c r="E386" s="106">
        <v>1.052</v>
      </c>
      <c r="F386" s="107"/>
    </row>
    <row r="387" spans="1:6" s="30" customFormat="1" ht="58.15" x14ac:dyDescent="0.4">
      <c r="A387" s="54" t="s">
        <v>387</v>
      </c>
      <c r="B387" s="55" t="s">
        <v>967</v>
      </c>
      <c r="C387" s="93" t="s">
        <v>700</v>
      </c>
      <c r="D387" s="94" t="s">
        <v>664</v>
      </c>
      <c r="E387" s="106">
        <v>-1.052</v>
      </c>
      <c r="F387" s="107"/>
    </row>
    <row r="388" spans="1:6" s="30" customFormat="1" ht="58.15" x14ac:dyDescent="0.4">
      <c r="A388" s="54" t="s">
        <v>388</v>
      </c>
      <c r="B388" s="55" t="s">
        <v>701</v>
      </c>
      <c r="C388" s="93" t="s">
        <v>702</v>
      </c>
      <c r="D388" s="94" t="s">
        <v>703</v>
      </c>
      <c r="E388" s="106">
        <v>1.052</v>
      </c>
      <c r="F388" s="107"/>
    </row>
    <row r="389" spans="1:6" s="30" customFormat="1" x14ac:dyDescent="0.4">
      <c r="A389" s="51"/>
      <c r="B389" s="52"/>
      <c r="C389" s="110" t="s">
        <v>961</v>
      </c>
      <c r="D389" s="110"/>
      <c r="E389" s="52"/>
      <c r="F389" s="88"/>
    </row>
    <row r="390" spans="1:6" s="30" customFormat="1" ht="58.15" x14ac:dyDescent="0.4">
      <c r="A390" s="54" t="s">
        <v>389</v>
      </c>
      <c r="B390" s="55" t="s">
        <v>693</v>
      </c>
      <c r="C390" s="93" t="s">
        <v>694</v>
      </c>
      <c r="D390" s="94" t="s">
        <v>664</v>
      </c>
      <c r="E390" s="106">
        <v>71.92</v>
      </c>
      <c r="F390" s="107"/>
    </row>
    <row r="391" spans="1:6" s="30" customFormat="1" ht="58.15" x14ac:dyDescent="0.4">
      <c r="A391" s="54" t="s">
        <v>390</v>
      </c>
      <c r="B391" s="55" t="s">
        <v>966</v>
      </c>
      <c r="C391" s="93" t="s">
        <v>697</v>
      </c>
      <c r="D391" s="94" t="s">
        <v>664</v>
      </c>
      <c r="E391" s="106">
        <v>71.92</v>
      </c>
      <c r="F391" s="107"/>
    </row>
    <row r="392" spans="1:6" s="30" customFormat="1" ht="58.15" x14ac:dyDescent="0.4">
      <c r="A392" s="54" t="s">
        <v>391</v>
      </c>
      <c r="B392" s="55" t="s">
        <v>967</v>
      </c>
      <c r="C392" s="93" t="s">
        <v>700</v>
      </c>
      <c r="D392" s="94" t="s">
        <v>664</v>
      </c>
      <c r="E392" s="106">
        <v>-71.92</v>
      </c>
      <c r="F392" s="107"/>
    </row>
    <row r="393" spans="1:6" s="30" customFormat="1" ht="58.15" x14ac:dyDescent="0.4">
      <c r="A393" s="54" t="s">
        <v>392</v>
      </c>
      <c r="B393" s="55" t="s">
        <v>701</v>
      </c>
      <c r="C393" s="93" t="s">
        <v>702</v>
      </c>
      <c r="D393" s="94" t="s">
        <v>703</v>
      </c>
      <c r="E393" s="106">
        <v>71.92</v>
      </c>
      <c r="F393" s="107"/>
    </row>
    <row r="394" spans="1:6" s="30" customFormat="1" x14ac:dyDescent="0.4">
      <c r="A394" s="51"/>
      <c r="B394" s="52"/>
      <c r="C394" s="110" t="s">
        <v>962</v>
      </c>
      <c r="D394" s="110"/>
      <c r="E394" s="52"/>
      <c r="F394" s="88"/>
    </row>
    <row r="395" spans="1:6" s="30" customFormat="1" ht="58.15" x14ac:dyDescent="0.4">
      <c r="A395" s="54" t="s">
        <v>393</v>
      </c>
      <c r="B395" s="55" t="s">
        <v>693</v>
      </c>
      <c r="C395" s="93" t="s">
        <v>694</v>
      </c>
      <c r="D395" s="94" t="s">
        <v>664</v>
      </c>
      <c r="E395" s="106">
        <v>13.076000000000001</v>
      </c>
      <c r="F395" s="107"/>
    </row>
    <row r="396" spans="1:6" s="30" customFormat="1" ht="23.25" x14ac:dyDescent="0.4">
      <c r="A396" s="54" t="s">
        <v>394</v>
      </c>
      <c r="B396" s="55" t="s">
        <v>968</v>
      </c>
      <c r="C396" s="93" t="s">
        <v>711</v>
      </c>
      <c r="D396" s="94" t="s">
        <v>990</v>
      </c>
      <c r="E396" s="106">
        <v>13.076000000000001</v>
      </c>
      <c r="F396" s="107"/>
    </row>
    <row r="397" spans="1:6" s="30" customFormat="1" x14ac:dyDescent="0.4">
      <c r="A397" s="51"/>
      <c r="B397" s="52"/>
      <c r="C397" s="110" t="s">
        <v>964</v>
      </c>
      <c r="D397" s="110"/>
      <c r="E397" s="52"/>
      <c r="F397" s="88"/>
    </row>
    <row r="398" spans="1:6" s="30" customFormat="1" ht="58.15" x14ac:dyDescent="0.4">
      <c r="A398" s="54" t="s">
        <v>395</v>
      </c>
      <c r="B398" s="55" t="s">
        <v>693</v>
      </c>
      <c r="C398" s="93" t="s">
        <v>694</v>
      </c>
      <c r="D398" s="94" t="s">
        <v>664</v>
      </c>
      <c r="E398" s="106">
        <v>9.4719999999999995</v>
      </c>
      <c r="F398" s="107"/>
    </row>
    <row r="399" spans="1:6" s="30" customFormat="1" ht="58.15" x14ac:dyDescent="0.4">
      <c r="A399" s="54" t="s">
        <v>396</v>
      </c>
      <c r="B399" s="55" t="s">
        <v>966</v>
      </c>
      <c r="C399" s="93" t="s">
        <v>697</v>
      </c>
      <c r="D399" s="94" t="s">
        <v>664</v>
      </c>
      <c r="E399" s="106">
        <v>9.4719999999999995</v>
      </c>
      <c r="F399" s="107"/>
    </row>
    <row r="400" spans="1:6" s="30" customFormat="1" ht="58.15" x14ac:dyDescent="0.4">
      <c r="A400" s="54" t="s">
        <v>397</v>
      </c>
      <c r="B400" s="55" t="s">
        <v>967</v>
      </c>
      <c r="C400" s="93" t="s">
        <v>700</v>
      </c>
      <c r="D400" s="94" t="s">
        <v>664</v>
      </c>
      <c r="E400" s="106">
        <v>-9.4719999999999995</v>
      </c>
      <c r="F400" s="107"/>
    </row>
    <row r="401" spans="1:6" s="30" customFormat="1" ht="58.15" x14ac:dyDescent="0.4">
      <c r="A401" s="54" t="s">
        <v>398</v>
      </c>
      <c r="B401" s="55" t="s">
        <v>701</v>
      </c>
      <c r="C401" s="93" t="s">
        <v>702</v>
      </c>
      <c r="D401" s="94" t="s">
        <v>703</v>
      </c>
      <c r="E401" s="106">
        <v>9.4719999999999995</v>
      </c>
      <c r="F401" s="107"/>
    </row>
    <row r="402" spans="1:6" s="30" customFormat="1" ht="23.25" x14ac:dyDescent="0.4">
      <c r="A402" s="54" t="s">
        <v>399</v>
      </c>
      <c r="B402" s="55" t="s">
        <v>968</v>
      </c>
      <c r="C402" s="93" t="s">
        <v>711</v>
      </c>
      <c r="D402" s="94" t="s">
        <v>990</v>
      </c>
      <c r="E402" s="106">
        <v>9.4719999999999995</v>
      </c>
      <c r="F402" s="107"/>
    </row>
    <row r="403" spans="1:6" s="30" customFormat="1" x14ac:dyDescent="0.4">
      <c r="A403" s="51"/>
      <c r="B403" s="52"/>
      <c r="C403" s="110" t="s">
        <v>965</v>
      </c>
      <c r="D403" s="110"/>
      <c r="E403" s="52"/>
      <c r="F403" s="88"/>
    </row>
    <row r="404" spans="1:6" s="30" customFormat="1" ht="93" x14ac:dyDescent="0.4">
      <c r="A404" s="54" t="s">
        <v>400</v>
      </c>
      <c r="B404" s="55" t="s">
        <v>969</v>
      </c>
      <c r="C404" s="93" t="s">
        <v>970</v>
      </c>
      <c r="D404" s="94" t="s">
        <v>971</v>
      </c>
      <c r="E404" s="106">
        <v>12.16</v>
      </c>
      <c r="F404" s="107"/>
    </row>
    <row r="405" spans="1:6" s="30" customFormat="1" ht="58.15" x14ac:dyDescent="0.4">
      <c r="A405" s="54" t="s">
        <v>401</v>
      </c>
      <c r="B405" s="55" t="s">
        <v>966</v>
      </c>
      <c r="C405" s="93" t="s">
        <v>697</v>
      </c>
      <c r="D405" s="94" t="s">
        <v>664</v>
      </c>
      <c r="E405" s="106">
        <v>12.16</v>
      </c>
      <c r="F405" s="107"/>
    </row>
    <row r="406" spans="1:6" s="30" customFormat="1" ht="58.15" x14ac:dyDescent="0.4">
      <c r="A406" s="54" t="s">
        <v>402</v>
      </c>
      <c r="B406" s="55" t="s">
        <v>967</v>
      </c>
      <c r="C406" s="93" t="s">
        <v>700</v>
      </c>
      <c r="D406" s="94" t="s">
        <v>664</v>
      </c>
      <c r="E406" s="106">
        <v>-12.16</v>
      </c>
      <c r="F406" s="107"/>
    </row>
    <row r="407" spans="1:6" s="30" customFormat="1" ht="58.15" x14ac:dyDescent="0.4">
      <c r="A407" s="54" t="s">
        <v>403</v>
      </c>
      <c r="B407" s="55" t="s">
        <v>701</v>
      </c>
      <c r="C407" s="93" t="s">
        <v>702</v>
      </c>
      <c r="D407" s="94" t="s">
        <v>703</v>
      </c>
      <c r="E407" s="106">
        <v>12.16</v>
      </c>
      <c r="F407" s="107"/>
    </row>
    <row r="408" spans="1:6" s="30" customFormat="1" x14ac:dyDescent="0.4">
      <c r="A408" s="51"/>
      <c r="B408" s="52"/>
      <c r="C408" s="110" t="s">
        <v>972</v>
      </c>
      <c r="D408" s="110"/>
      <c r="E408" s="52"/>
      <c r="F408" s="88"/>
    </row>
    <row r="409" spans="1:6" s="30" customFormat="1" x14ac:dyDescent="0.4">
      <c r="A409" s="51"/>
      <c r="B409" s="52"/>
      <c r="C409" s="110" t="s">
        <v>939</v>
      </c>
      <c r="D409" s="110"/>
      <c r="E409" s="52"/>
      <c r="F409" s="88"/>
    </row>
    <row r="410" spans="1:6" s="30" customFormat="1" x14ac:dyDescent="0.4">
      <c r="A410" s="54" t="s">
        <v>404</v>
      </c>
      <c r="B410" s="55" t="s">
        <v>973</v>
      </c>
      <c r="C410" s="93" t="s">
        <v>974</v>
      </c>
      <c r="D410" s="94" t="s">
        <v>508</v>
      </c>
      <c r="E410" s="106">
        <v>7.48</v>
      </c>
      <c r="F410" s="107"/>
    </row>
    <row r="411" spans="1:6" s="30" customFormat="1" ht="23.25" x14ac:dyDescent="0.4">
      <c r="A411" s="54" t="s">
        <v>405</v>
      </c>
      <c r="B411" s="55" t="s">
        <v>975</v>
      </c>
      <c r="C411" s="93" t="s">
        <v>976</v>
      </c>
      <c r="D411" s="94" t="s">
        <v>508</v>
      </c>
      <c r="E411" s="106">
        <v>7.48</v>
      </c>
      <c r="F411" s="107"/>
    </row>
    <row r="412" spans="1:6" s="30" customFormat="1" ht="23.25" x14ac:dyDescent="0.4">
      <c r="A412" s="54" t="s">
        <v>406</v>
      </c>
      <c r="B412" s="55" t="s">
        <v>977</v>
      </c>
      <c r="C412" s="93" t="s">
        <v>978</v>
      </c>
      <c r="D412" s="94" t="s">
        <v>508</v>
      </c>
      <c r="E412" s="106">
        <v>7.48</v>
      </c>
      <c r="F412" s="107"/>
    </row>
    <row r="413" spans="1:6" s="30" customFormat="1" x14ac:dyDescent="0.4">
      <c r="A413" s="51"/>
      <c r="B413" s="52"/>
      <c r="C413" s="110" t="s">
        <v>940</v>
      </c>
      <c r="D413" s="110"/>
      <c r="E413" s="52"/>
      <c r="F413" s="88"/>
    </row>
    <row r="414" spans="1:6" s="30" customFormat="1" ht="23.25" x14ac:dyDescent="0.4">
      <c r="A414" s="54" t="s">
        <v>407</v>
      </c>
      <c r="B414" s="55" t="s">
        <v>981</v>
      </c>
      <c r="C414" s="93" t="s">
        <v>982</v>
      </c>
      <c r="D414" s="94" t="s">
        <v>508</v>
      </c>
      <c r="E414" s="106">
        <v>2.5510000000000002</v>
      </c>
      <c r="F414" s="107"/>
    </row>
    <row r="415" spans="1:6" s="30" customFormat="1" ht="23.25" x14ac:dyDescent="0.4">
      <c r="A415" s="54" t="s">
        <v>408</v>
      </c>
      <c r="B415" s="55" t="s">
        <v>718</v>
      </c>
      <c r="C415" s="93" t="s">
        <v>719</v>
      </c>
      <c r="D415" s="94" t="s">
        <v>508</v>
      </c>
      <c r="E415" s="106">
        <v>2.5510000000000002</v>
      </c>
      <c r="F415" s="107"/>
    </row>
    <row r="416" spans="1:6" s="30" customFormat="1" ht="23.25" x14ac:dyDescent="0.4">
      <c r="A416" s="54" t="s">
        <v>409</v>
      </c>
      <c r="B416" s="55" t="s">
        <v>729</v>
      </c>
      <c r="C416" s="93" t="s">
        <v>721</v>
      </c>
      <c r="D416" s="94" t="s">
        <v>508</v>
      </c>
      <c r="E416" s="106">
        <v>2.5510000000000002</v>
      </c>
      <c r="F416" s="107"/>
    </row>
    <row r="417" spans="1:6" s="30" customFormat="1" x14ac:dyDescent="0.4">
      <c r="A417" s="54" t="s">
        <v>410</v>
      </c>
      <c r="B417" s="55" t="s">
        <v>34</v>
      </c>
      <c r="C417" s="93" t="s">
        <v>741</v>
      </c>
      <c r="D417" s="94" t="s">
        <v>21</v>
      </c>
      <c r="E417" s="104">
        <v>255.1</v>
      </c>
      <c r="F417" s="105"/>
    </row>
    <row r="418" spans="1:6" s="30" customFormat="1" x14ac:dyDescent="0.4">
      <c r="A418" s="54" t="s">
        <v>411</v>
      </c>
      <c r="B418" s="55" t="s">
        <v>722</v>
      </c>
      <c r="C418" s="93" t="s">
        <v>723</v>
      </c>
      <c r="D418" s="94" t="s">
        <v>988</v>
      </c>
      <c r="E418" s="106">
        <v>2.5510000000000002</v>
      </c>
      <c r="F418" s="107"/>
    </row>
    <row r="419" spans="1:6" s="30" customFormat="1" ht="23.25" x14ac:dyDescent="0.4">
      <c r="A419" s="54" t="s">
        <v>412</v>
      </c>
      <c r="B419" s="55" t="s">
        <v>742</v>
      </c>
      <c r="C419" s="93" t="s">
        <v>743</v>
      </c>
      <c r="D419" s="94" t="s">
        <v>508</v>
      </c>
      <c r="E419" s="106">
        <v>2.5510000000000002</v>
      </c>
      <c r="F419" s="107"/>
    </row>
    <row r="420" spans="1:6" s="30" customFormat="1" ht="23.25" x14ac:dyDescent="0.4">
      <c r="A420" s="54" t="s">
        <v>413</v>
      </c>
      <c r="B420" s="55" t="s">
        <v>34</v>
      </c>
      <c r="C420" s="93" t="s">
        <v>744</v>
      </c>
      <c r="D420" s="94" t="s">
        <v>21</v>
      </c>
      <c r="E420" s="104">
        <v>262.75299999999999</v>
      </c>
      <c r="F420" s="105"/>
    </row>
    <row r="421" spans="1:6" s="30" customFormat="1" x14ac:dyDescent="0.4">
      <c r="A421" s="54" t="s">
        <v>414</v>
      </c>
      <c r="B421" s="55" t="s">
        <v>745</v>
      </c>
      <c r="C421" s="93" t="s">
        <v>746</v>
      </c>
      <c r="D421" s="94" t="s">
        <v>508</v>
      </c>
      <c r="E421" s="106">
        <v>2.5510000000000002</v>
      </c>
      <c r="F421" s="107"/>
    </row>
    <row r="422" spans="1:6" s="30" customFormat="1" x14ac:dyDescent="0.4">
      <c r="A422" s="51"/>
      <c r="B422" s="52"/>
      <c r="C422" s="110" t="s">
        <v>957</v>
      </c>
      <c r="D422" s="110"/>
      <c r="E422" s="52"/>
      <c r="F422" s="88"/>
    </row>
    <row r="423" spans="1:6" s="30" customFormat="1" ht="23.25" x14ac:dyDescent="0.4">
      <c r="A423" s="54" t="s">
        <v>415</v>
      </c>
      <c r="B423" s="55" t="s">
        <v>981</v>
      </c>
      <c r="C423" s="93" t="s">
        <v>982</v>
      </c>
      <c r="D423" s="94" t="s">
        <v>508</v>
      </c>
      <c r="E423" s="106">
        <v>14.574999999999999</v>
      </c>
      <c r="F423" s="107"/>
    </row>
    <row r="424" spans="1:6" s="30" customFormat="1" ht="23.25" x14ac:dyDescent="0.4">
      <c r="A424" s="54" t="s">
        <v>416</v>
      </c>
      <c r="B424" s="55" t="s">
        <v>718</v>
      </c>
      <c r="C424" s="93" t="s">
        <v>719</v>
      </c>
      <c r="D424" s="94" t="s">
        <v>508</v>
      </c>
      <c r="E424" s="106">
        <v>14.574999999999999</v>
      </c>
      <c r="F424" s="107"/>
    </row>
    <row r="425" spans="1:6" s="30" customFormat="1" ht="23.25" x14ac:dyDescent="0.4">
      <c r="A425" s="54" t="s">
        <v>417</v>
      </c>
      <c r="B425" s="55" t="s">
        <v>729</v>
      </c>
      <c r="C425" s="93" t="s">
        <v>721</v>
      </c>
      <c r="D425" s="94" t="s">
        <v>508</v>
      </c>
      <c r="E425" s="106">
        <v>14.574999999999999</v>
      </c>
      <c r="F425" s="107"/>
    </row>
    <row r="426" spans="1:6" s="30" customFormat="1" x14ac:dyDescent="0.4">
      <c r="A426" s="54" t="s">
        <v>418</v>
      </c>
      <c r="B426" s="55" t="s">
        <v>34</v>
      </c>
      <c r="C426" s="93" t="s">
        <v>741</v>
      </c>
      <c r="D426" s="94" t="s">
        <v>21</v>
      </c>
      <c r="E426" s="104">
        <v>1457.5</v>
      </c>
      <c r="F426" s="105"/>
    </row>
    <row r="427" spans="1:6" s="30" customFormat="1" x14ac:dyDescent="0.4">
      <c r="A427" s="54" t="s">
        <v>419</v>
      </c>
      <c r="B427" s="55" t="s">
        <v>722</v>
      </c>
      <c r="C427" s="93" t="s">
        <v>723</v>
      </c>
      <c r="D427" s="94" t="s">
        <v>988</v>
      </c>
      <c r="E427" s="106">
        <v>14.574999999999999</v>
      </c>
      <c r="F427" s="107"/>
    </row>
    <row r="428" spans="1:6" s="30" customFormat="1" ht="23.25" x14ac:dyDescent="0.4">
      <c r="A428" s="54" t="s">
        <v>420</v>
      </c>
      <c r="B428" s="55" t="s">
        <v>742</v>
      </c>
      <c r="C428" s="93" t="s">
        <v>743</v>
      </c>
      <c r="D428" s="94" t="s">
        <v>508</v>
      </c>
      <c r="E428" s="106">
        <v>14.574999999999999</v>
      </c>
      <c r="F428" s="107"/>
    </row>
    <row r="429" spans="1:6" s="30" customFormat="1" ht="23.25" x14ac:dyDescent="0.4">
      <c r="A429" s="54" t="s">
        <v>421</v>
      </c>
      <c r="B429" s="55" t="s">
        <v>34</v>
      </c>
      <c r="C429" s="93" t="s">
        <v>744</v>
      </c>
      <c r="D429" s="94" t="s">
        <v>21</v>
      </c>
      <c r="E429" s="104">
        <v>1501.2249999999999</v>
      </c>
      <c r="F429" s="105"/>
    </row>
    <row r="430" spans="1:6" s="30" customFormat="1" x14ac:dyDescent="0.4">
      <c r="A430" s="54" t="s">
        <v>422</v>
      </c>
      <c r="B430" s="55" t="s">
        <v>745</v>
      </c>
      <c r="C430" s="93" t="s">
        <v>746</v>
      </c>
      <c r="D430" s="94" t="s">
        <v>508</v>
      </c>
      <c r="E430" s="106">
        <v>14.574999999999999</v>
      </c>
      <c r="F430" s="107"/>
    </row>
    <row r="431" spans="1:6" s="30" customFormat="1" x14ac:dyDescent="0.4">
      <c r="A431" s="51"/>
      <c r="B431" s="52"/>
      <c r="C431" s="110" t="s">
        <v>958</v>
      </c>
      <c r="D431" s="110"/>
      <c r="E431" s="52"/>
      <c r="F431" s="88"/>
    </row>
    <row r="432" spans="1:6" s="30" customFormat="1" x14ac:dyDescent="0.4">
      <c r="A432" s="54" t="s">
        <v>423</v>
      </c>
      <c r="B432" s="55" t="s">
        <v>973</v>
      </c>
      <c r="C432" s="93" t="s">
        <v>974</v>
      </c>
      <c r="D432" s="94" t="s">
        <v>508</v>
      </c>
      <c r="E432" s="106">
        <v>0.47599999999999998</v>
      </c>
      <c r="F432" s="107"/>
    </row>
    <row r="433" spans="1:6" s="30" customFormat="1" ht="23.25" x14ac:dyDescent="0.4">
      <c r="A433" s="54" t="s">
        <v>424</v>
      </c>
      <c r="B433" s="55" t="s">
        <v>975</v>
      </c>
      <c r="C433" s="93" t="s">
        <v>976</v>
      </c>
      <c r="D433" s="94" t="s">
        <v>508</v>
      </c>
      <c r="E433" s="106">
        <v>0.47599999999999998</v>
      </c>
      <c r="F433" s="107"/>
    </row>
    <row r="434" spans="1:6" s="30" customFormat="1" ht="23.25" x14ac:dyDescent="0.4">
      <c r="A434" s="54" t="s">
        <v>425</v>
      </c>
      <c r="B434" s="55" t="s">
        <v>977</v>
      </c>
      <c r="C434" s="93" t="s">
        <v>978</v>
      </c>
      <c r="D434" s="94" t="s">
        <v>508</v>
      </c>
      <c r="E434" s="106">
        <v>0.47599999999999998</v>
      </c>
      <c r="F434" s="107"/>
    </row>
    <row r="435" spans="1:6" s="30" customFormat="1" x14ac:dyDescent="0.4">
      <c r="A435" s="51"/>
      <c r="B435" s="52"/>
      <c r="C435" s="110" t="s">
        <v>940</v>
      </c>
      <c r="D435" s="110"/>
      <c r="E435" s="52"/>
      <c r="F435" s="88"/>
    </row>
    <row r="436" spans="1:6" s="30" customFormat="1" x14ac:dyDescent="0.4">
      <c r="A436" s="54" t="s">
        <v>426</v>
      </c>
      <c r="B436" s="55" t="s">
        <v>730</v>
      </c>
      <c r="C436" s="93" t="s">
        <v>731</v>
      </c>
      <c r="D436" s="94" t="s">
        <v>508</v>
      </c>
      <c r="E436" s="106">
        <v>25.628</v>
      </c>
      <c r="F436" s="107"/>
    </row>
    <row r="437" spans="1:6" s="30" customFormat="1" x14ac:dyDescent="0.4">
      <c r="A437" s="54" t="s">
        <v>427</v>
      </c>
      <c r="B437" s="55" t="s">
        <v>735</v>
      </c>
      <c r="C437" s="93" t="s">
        <v>736</v>
      </c>
      <c r="D437" s="94" t="s">
        <v>737</v>
      </c>
      <c r="E437" s="106">
        <v>25.628</v>
      </c>
      <c r="F437" s="107"/>
    </row>
    <row r="438" spans="1:6" s="30" customFormat="1" x14ac:dyDescent="0.4">
      <c r="A438" s="54" t="s">
        <v>428</v>
      </c>
      <c r="B438" s="55" t="s">
        <v>739</v>
      </c>
      <c r="C438" s="93" t="s">
        <v>740</v>
      </c>
      <c r="D438" s="94" t="s">
        <v>737</v>
      </c>
      <c r="E438" s="106">
        <v>25.628</v>
      </c>
      <c r="F438" s="107"/>
    </row>
    <row r="439" spans="1:6" s="30" customFormat="1" ht="23.25" x14ac:dyDescent="0.4">
      <c r="A439" s="54" t="s">
        <v>429</v>
      </c>
      <c r="B439" s="55" t="s">
        <v>718</v>
      </c>
      <c r="C439" s="93" t="s">
        <v>719</v>
      </c>
      <c r="D439" s="94" t="s">
        <v>508</v>
      </c>
      <c r="E439" s="106">
        <v>25.628</v>
      </c>
      <c r="F439" s="107"/>
    </row>
    <row r="440" spans="1:6" s="30" customFormat="1" ht="23.25" x14ac:dyDescent="0.4">
      <c r="A440" s="54" t="s">
        <v>430</v>
      </c>
      <c r="B440" s="55" t="s">
        <v>729</v>
      </c>
      <c r="C440" s="93" t="s">
        <v>721</v>
      </c>
      <c r="D440" s="94" t="s">
        <v>508</v>
      </c>
      <c r="E440" s="106">
        <v>25.628</v>
      </c>
      <c r="F440" s="107"/>
    </row>
    <row r="441" spans="1:6" s="30" customFormat="1" x14ac:dyDescent="0.4">
      <c r="A441" s="54" t="s">
        <v>431</v>
      </c>
      <c r="B441" s="55" t="s">
        <v>34</v>
      </c>
      <c r="C441" s="93" t="s">
        <v>741</v>
      </c>
      <c r="D441" s="94" t="s">
        <v>21</v>
      </c>
      <c r="E441" s="104">
        <v>2562.8000000000002</v>
      </c>
      <c r="F441" s="105"/>
    </row>
    <row r="442" spans="1:6" s="30" customFormat="1" x14ac:dyDescent="0.4">
      <c r="A442" s="54" t="s">
        <v>432</v>
      </c>
      <c r="B442" s="55" t="s">
        <v>722</v>
      </c>
      <c r="C442" s="93" t="s">
        <v>723</v>
      </c>
      <c r="D442" s="94" t="s">
        <v>988</v>
      </c>
      <c r="E442" s="106">
        <v>25.628</v>
      </c>
      <c r="F442" s="107"/>
    </row>
    <row r="443" spans="1:6" s="30" customFormat="1" ht="23.25" x14ac:dyDescent="0.4">
      <c r="A443" s="54" t="s">
        <v>433</v>
      </c>
      <c r="B443" s="55" t="s">
        <v>742</v>
      </c>
      <c r="C443" s="93" t="s">
        <v>743</v>
      </c>
      <c r="D443" s="94" t="s">
        <v>508</v>
      </c>
      <c r="E443" s="106">
        <v>25.628</v>
      </c>
      <c r="F443" s="107"/>
    </row>
    <row r="444" spans="1:6" s="30" customFormat="1" ht="23.25" x14ac:dyDescent="0.4">
      <c r="A444" s="54" t="s">
        <v>434</v>
      </c>
      <c r="B444" s="55" t="s">
        <v>34</v>
      </c>
      <c r="C444" s="93" t="s">
        <v>744</v>
      </c>
      <c r="D444" s="94" t="s">
        <v>21</v>
      </c>
      <c r="E444" s="104">
        <v>2639.6840000000002</v>
      </c>
      <c r="F444" s="105"/>
    </row>
    <row r="445" spans="1:6" s="30" customFormat="1" x14ac:dyDescent="0.4">
      <c r="A445" s="54" t="s">
        <v>435</v>
      </c>
      <c r="B445" s="55" t="s">
        <v>745</v>
      </c>
      <c r="C445" s="93" t="s">
        <v>746</v>
      </c>
      <c r="D445" s="94" t="s">
        <v>508</v>
      </c>
      <c r="E445" s="106">
        <v>25.628</v>
      </c>
      <c r="F445" s="107"/>
    </row>
    <row r="446" spans="1:6" s="30" customFormat="1" x14ac:dyDescent="0.4">
      <c r="A446" s="51"/>
      <c r="B446" s="52"/>
      <c r="C446" s="110" t="s">
        <v>962</v>
      </c>
      <c r="D446" s="110"/>
      <c r="E446" s="52"/>
      <c r="F446" s="88"/>
    </row>
    <row r="447" spans="1:6" s="30" customFormat="1" ht="23.25" x14ac:dyDescent="0.4">
      <c r="A447" s="54" t="s">
        <v>436</v>
      </c>
      <c r="B447" s="55" t="s">
        <v>751</v>
      </c>
      <c r="C447" s="93" t="s">
        <v>752</v>
      </c>
      <c r="D447" s="94" t="s">
        <v>572</v>
      </c>
      <c r="E447" s="106">
        <v>2.2160000000000002</v>
      </c>
      <c r="F447" s="107"/>
    </row>
    <row r="448" spans="1:6" s="30" customFormat="1" ht="23.25" x14ac:dyDescent="0.4">
      <c r="A448" s="54" t="s">
        <v>437</v>
      </c>
      <c r="B448" s="55" t="s">
        <v>718</v>
      </c>
      <c r="C448" s="93" t="s">
        <v>719</v>
      </c>
      <c r="D448" s="94" t="s">
        <v>508</v>
      </c>
      <c r="E448" s="106">
        <v>2.2160000000000002</v>
      </c>
      <c r="F448" s="107"/>
    </row>
    <row r="449" spans="1:6" s="30" customFormat="1" ht="23.25" x14ac:dyDescent="0.4">
      <c r="A449" s="54" t="s">
        <v>438</v>
      </c>
      <c r="B449" s="55" t="s">
        <v>729</v>
      </c>
      <c r="C449" s="93" t="s">
        <v>721</v>
      </c>
      <c r="D449" s="94" t="s">
        <v>508</v>
      </c>
      <c r="E449" s="106">
        <v>2.2160000000000002</v>
      </c>
      <c r="F449" s="107"/>
    </row>
    <row r="450" spans="1:6" s="30" customFormat="1" x14ac:dyDescent="0.4">
      <c r="A450" s="54" t="s">
        <v>439</v>
      </c>
      <c r="B450" s="55" t="s">
        <v>34</v>
      </c>
      <c r="C450" s="93" t="s">
        <v>741</v>
      </c>
      <c r="D450" s="94" t="s">
        <v>21</v>
      </c>
      <c r="E450" s="104">
        <v>221.6</v>
      </c>
      <c r="F450" s="105"/>
    </row>
    <row r="451" spans="1:6" s="30" customFormat="1" x14ac:dyDescent="0.4">
      <c r="A451" s="54" t="s">
        <v>440</v>
      </c>
      <c r="B451" s="55" t="s">
        <v>722</v>
      </c>
      <c r="C451" s="93" t="s">
        <v>723</v>
      </c>
      <c r="D451" s="94" t="s">
        <v>988</v>
      </c>
      <c r="E451" s="106">
        <v>2.2160000000000002</v>
      </c>
      <c r="F451" s="107"/>
    </row>
    <row r="452" spans="1:6" s="30" customFormat="1" ht="23.25" x14ac:dyDescent="0.4">
      <c r="A452" s="54" t="s">
        <v>441</v>
      </c>
      <c r="B452" s="55" t="s">
        <v>742</v>
      </c>
      <c r="C452" s="93" t="s">
        <v>743</v>
      </c>
      <c r="D452" s="94" t="s">
        <v>508</v>
      </c>
      <c r="E452" s="106">
        <v>2.2160000000000002</v>
      </c>
      <c r="F452" s="107"/>
    </row>
    <row r="453" spans="1:6" s="30" customFormat="1" ht="23.25" x14ac:dyDescent="0.4">
      <c r="A453" s="54" t="s">
        <v>442</v>
      </c>
      <c r="B453" s="55" t="s">
        <v>34</v>
      </c>
      <c r="C453" s="93" t="s">
        <v>744</v>
      </c>
      <c r="D453" s="94" t="s">
        <v>21</v>
      </c>
      <c r="E453" s="104">
        <v>228.24799999999999</v>
      </c>
      <c r="F453" s="105"/>
    </row>
    <row r="454" spans="1:6" s="30" customFormat="1" x14ac:dyDescent="0.4">
      <c r="A454" s="54" t="s">
        <v>443</v>
      </c>
      <c r="B454" s="55" t="s">
        <v>745</v>
      </c>
      <c r="C454" s="93" t="s">
        <v>746</v>
      </c>
      <c r="D454" s="94" t="s">
        <v>508</v>
      </c>
      <c r="E454" s="106">
        <v>2.2160000000000002</v>
      </c>
      <c r="F454" s="107"/>
    </row>
    <row r="455" spans="1:6" s="30" customFormat="1" x14ac:dyDescent="0.4">
      <c r="A455" s="51"/>
      <c r="B455" s="52"/>
      <c r="C455" s="110" t="s">
        <v>964</v>
      </c>
      <c r="D455" s="110"/>
      <c r="E455" s="52"/>
      <c r="F455" s="88"/>
    </row>
    <row r="456" spans="1:6" s="30" customFormat="1" ht="23.25" x14ac:dyDescent="0.4">
      <c r="A456" s="54" t="s">
        <v>444</v>
      </c>
      <c r="B456" s="55" t="s">
        <v>751</v>
      </c>
      <c r="C456" s="93" t="s">
        <v>752</v>
      </c>
      <c r="D456" s="94" t="s">
        <v>572</v>
      </c>
      <c r="E456" s="106">
        <v>6.1719999999999997</v>
      </c>
      <c r="F456" s="107"/>
    </row>
    <row r="457" spans="1:6" s="30" customFormat="1" ht="23.25" x14ac:dyDescent="0.4">
      <c r="A457" s="54" t="s">
        <v>445</v>
      </c>
      <c r="B457" s="55" t="s">
        <v>718</v>
      </c>
      <c r="C457" s="93" t="s">
        <v>719</v>
      </c>
      <c r="D457" s="94" t="s">
        <v>508</v>
      </c>
      <c r="E457" s="106">
        <v>6.1719999999999997</v>
      </c>
      <c r="F457" s="107"/>
    </row>
    <row r="458" spans="1:6" s="30" customFormat="1" ht="23.25" x14ac:dyDescent="0.4">
      <c r="A458" s="54" t="s">
        <v>446</v>
      </c>
      <c r="B458" s="55" t="s">
        <v>729</v>
      </c>
      <c r="C458" s="93" t="s">
        <v>721</v>
      </c>
      <c r="D458" s="94" t="s">
        <v>508</v>
      </c>
      <c r="E458" s="106">
        <v>6.1719999999999997</v>
      </c>
      <c r="F458" s="107"/>
    </row>
    <row r="459" spans="1:6" s="30" customFormat="1" x14ac:dyDescent="0.4">
      <c r="A459" s="54" t="s">
        <v>447</v>
      </c>
      <c r="B459" s="55" t="s">
        <v>34</v>
      </c>
      <c r="C459" s="93" t="s">
        <v>741</v>
      </c>
      <c r="D459" s="94" t="s">
        <v>21</v>
      </c>
      <c r="E459" s="104">
        <v>617.20000000000005</v>
      </c>
      <c r="F459" s="105"/>
    </row>
    <row r="460" spans="1:6" s="30" customFormat="1" x14ac:dyDescent="0.4">
      <c r="A460" s="54" t="s">
        <v>448</v>
      </c>
      <c r="B460" s="55" t="s">
        <v>722</v>
      </c>
      <c r="C460" s="93" t="s">
        <v>723</v>
      </c>
      <c r="D460" s="94" t="s">
        <v>988</v>
      </c>
      <c r="E460" s="106">
        <v>6.1719999999999997</v>
      </c>
      <c r="F460" s="107"/>
    </row>
    <row r="461" spans="1:6" s="30" customFormat="1" ht="23.25" x14ac:dyDescent="0.4">
      <c r="A461" s="54" t="s">
        <v>449</v>
      </c>
      <c r="B461" s="55" t="s">
        <v>742</v>
      </c>
      <c r="C461" s="93" t="s">
        <v>743</v>
      </c>
      <c r="D461" s="94" t="s">
        <v>508</v>
      </c>
      <c r="E461" s="106">
        <v>6.1719999999999997</v>
      </c>
      <c r="F461" s="107"/>
    </row>
    <row r="462" spans="1:6" s="30" customFormat="1" ht="23.25" x14ac:dyDescent="0.4">
      <c r="A462" s="54" t="s">
        <v>450</v>
      </c>
      <c r="B462" s="55" t="s">
        <v>34</v>
      </c>
      <c r="C462" s="93" t="s">
        <v>744</v>
      </c>
      <c r="D462" s="94" t="s">
        <v>21</v>
      </c>
      <c r="E462" s="104">
        <v>635.71600000000001</v>
      </c>
      <c r="F462" s="105"/>
    </row>
    <row r="463" spans="1:6" s="30" customFormat="1" x14ac:dyDescent="0.4">
      <c r="A463" s="54" t="s">
        <v>454</v>
      </c>
      <c r="B463" s="55" t="s">
        <v>745</v>
      </c>
      <c r="C463" s="93" t="s">
        <v>746</v>
      </c>
      <c r="D463" s="94" t="s">
        <v>508</v>
      </c>
      <c r="E463" s="106">
        <v>6.1719999999999997</v>
      </c>
      <c r="F463" s="107"/>
    </row>
    <row r="464" spans="1:6" s="30" customFormat="1" x14ac:dyDescent="0.4">
      <c r="A464" s="51"/>
      <c r="B464" s="52"/>
      <c r="C464" s="110" t="s">
        <v>965</v>
      </c>
      <c r="D464" s="110"/>
      <c r="E464" s="52"/>
      <c r="F464" s="88"/>
    </row>
    <row r="465" spans="1:6" s="30" customFormat="1" ht="34.9" x14ac:dyDescent="0.4">
      <c r="A465" s="54" t="s">
        <v>455</v>
      </c>
      <c r="B465" s="55" t="s">
        <v>726</v>
      </c>
      <c r="C465" s="93" t="s">
        <v>727</v>
      </c>
      <c r="D465" s="94" t="s">
        <v>474</v>
      </c>
      <c r="E465" s="106">
        <v>1.5029999999999999</v>
      </c>
      <c r="F465" s="107"/>
    </row>
    <row r="466" spans="1:6" s="30" customFormat="1" ht="23.25" x14ac:dyDescent="0.4">
      <c r="A466" s="54" t="s">
        <v>456</v>
      </c>
      <c r="B466" s="55" t="s">
        <v>718</v>
      </c>
      <c r="C466" s="93" t="s">
        <v>719</v>
      </c>
      <c r="D466" s="94" t="s">
        <v>508</v>
      </c>
      <c r="E466" s="106">
        <v>1.5029999999999999</v>
      </c>
      <c r="F466" s="107"/>
    </row>
    <row r="467" spans="1:6" s="30" customFormat="1" ht="23.25" x14ac:dyDescent="0.4">
      <c r="A467" s="54" t="s">
        <v>457</v>
      </c>
      <c r="B467" s="55" t="s">
        <v>729</v>
      </c>
      <c r="C467" s="93" t="s">
        <v>721</v>
      </c>
      <c r="D467" s="94" t="s">
        <v>508</v>
      </c>
      <c r="E467" s="106">
        <v>1.5029999999999999</v>
      </c>
      <c r="F467" s="107"/>
    </row>
    <row r="468" spans="1:6" s="30" customFormat="1" x14ac:dyDescent="0.4">
      <c r="A468" s="54" t="s">
        <v>458</v>
      </c>
      <c r="B468" s="55" t="s">
        <v>722</v>
      </c>
      <c r="C468" s="93" t="s">
        <v>723</v>
      </c>
      <c r="D468" s="94" t="s">
        <v>988</v>
      </c>
      <c r="E468" s="106">
        <v>1.5029999999999999</v>
      </c>
      <c r="F468" s="107"/>
    </row>
    <row r="469" spans="1:6" s="30" customFormat="1" x14ac:dyDescent="0.4">
      <c r="A469" s="51"/>
      <c r="B469" s="52"/>
      <c r="C469" s="110" t="s">
        <v>756</v>
      </c>
      <c r="D469" s="110"/>
      <c r="E469" s="52"/>
      <c r="F469" s="88"/>
    </row>
    <row r="470" spans="1:6" s="30" customFormat="1" ht="58.15" x14ac:dyDescent="0.4">
      <c r="A470" s="54" t="s">
        <v>459</v>
      </c>
      <c r="B470" s="55" t="s">
        <v>767</v>
      </c>
      <c r="C470" s="93" t="s">
        <v>768</v>
      </c>
      <c r="D470" s="94" t="s">
        <v>572</v>
      </c>
      <c r="E470" s="106">
        <v>0.14299999999999999</v>
      </c>
      <c r="F470" s="107"/>
    </row>
    <row r="471" spans="1:6" s="30" customFormat="1" ht="58.15" x14ac:dyDescent="0.4">
      <c r="A471" s="54" t="s">
        <v>460</v>
      </c>
      <c r="B471" s="55" t="s">
        <v>773</v>
      </c>
      <c r="C471" s="93" t="s">
        <v>774</v>
      </c>
      <c r="D471" s="94" t="s">
        <v>572</v>
      </c>
      <c r="E471" s="106">
        <v>4.4329999999999998</v>
      </c>
      <c r="F471" s="107"/>
    </row>
    <row r="472" spans="1:6" s="30" customFormat="1" ht="23.25" x14ac:dyDescent="0.4">
      <c r="A472" s="54" t="s">
        <v>461</v>
      </c>
      <c r="B472" s="55" t="s">
        <v>775</v>
      </c>
      <c r="C472" s="93" t="s">
        <v>776</v>
      </c>
      <c r="D472" s="94" t="s">
        <v>572</v>
      </c>
      <c r="E472" s="106">
        <v>1.02</v>
      </c>
      <c r="F472" s="107"/>
    </row>
    <row r="473" spans="1:6" s="30" customFormat="1" ht="23.25" x14ac:dyDescent="0.4">
      <c r="A473" s="54" t="s">
        <v>462</v>
      </c>
      <c r="B473" s="55" t="s">
        <v>757</v>
      </c>
      <c r="C473" s="93" t="s">
        <v>758</v>
      </c>
      <c r="D473" s="94" t="s">
        <v>21</v>
      </c>
      <c r="E473" s="106">
        <v>3.6</v>
      </c>
      <c r="F473" s="107"/>
    </row>
    <row r="474" spans="1:6" s="30" customFormat="1" ht="23.25" x14ac:dyDescent="0.4">
      <c r="A474" s="54" t="s">
        <v>463</v>
      </c>
      <c r="B474" s="55" t="s">
        <v>761</v>
      </c>
      <c r="C474" s="93" t="s">
        <v>762</v>
      </c>
      <c r="D474" s="94" t="s">
        <v>21</v>
      </c>
      <c r="E474" s="106">
        <v>166.3</v>
      </c>
      <c r="F474" s="107"/>
    </row>
    <row r="475" spans="1:6" s="30" customFormat="1" ht="23.25" x14ac:dyDescent="0.4">
      <c r="A475" s="54" t="s">
        <v>464</v>
      </c>
      <c r="B475" s="55" t="s">
        <v>763</v>
      </c>
      <c r="C475" s="93" t="s">
        <v>764</v>
      </c>
      <c r="D475" s="94" t="s">
        <v>765</v>
      </c>
      <c r="E475" s="106">
        <v>5.2679999999999998</v>
      </c>
      <c r="F475" s="107"/>
    </row>
    <row r="476" spans="1:6" s="30" customFormat="1" ht="58.15" x14ac:dyDescent="0.4">
      <c r="A476" s="54" t="s">
        <v>465</v>
      </c>
      <c r="B476" s="55" t="s">
        <v>782</v>
      </c>
      <c r="C476" s="93" t="s">
        <v>783</v>
      </c>
      <c r="D476" s="94" t="s">
        <v>572</v>
      </c>
      <c r="E476" s="106">
        <v>0.40500000000000003</v>
      </c>
      <c r="F476" s="107"/>
    </row>
    <row r="477" spans="1:6" s="30" customFormat="1" ht="58.15" x14ac:dyDescent="0.4">
      <c r="A477" s="54" t="s">
        <v>466</v>
      </c>
      <c r="B477" s="55" t="s">
        <v>785</v>
      </c>
      <c r="C477" s="93" t="s">
        <v>786</v>
      </c>
      <c r="D477" s="94" t="s">
        <v>452</v>
      </c>
      <c r="E477" s="106">
        <v>1.75</v>
      </c>
      <c r="F477" s="107"/>
    </row>
    <row r="478" spans="1:6" s="30" customFormat="1" ht="23.25" x14ac:dyDescent="0.4">
      <c r="A478" s="54" t="s">
        <v>467</v>
      </c>
      <c r="B478" s="55" t="s">
        <v>688</v>
      </c>
      <c r="C478" s="93" t="s">
        <v>984</v>
      </c>
      <c r="D478" s="94" t="s">
        <v>990</v>
      </c>
      <c r="E478" s="106">
        <v>0.45019999999999999</v>
      </c>
      <c r="F478" s="107"/>
    </row>
  </sheetData>
  <autoFilter ref="A1:F478" xr:uid="{CEEAA74A-B81B-41B0-B88F-06DF3EA2A4DF}"/>
  <mergeCells count="477">
    <mergeCell ref="B2:F2"/>
    <mergeCell ref="B3:F3"/>
    <mergeCell ref="C5:E5"/>
    <mergeCell ref="B6:F6"/>
    <mergeCell ref="A9:A10"/>
    <mergeCell ref="B9:B10"/>
    <mergeCell ref="C9:C10"/>
    <mergeCell ref="D9:D10"/>
    <mergeCell ref="E9:F9"/>
    <mergeCell ref="C21:D21"/>
    <mergeCell ref="E22:F22"/>
    <mergeCell ref="E23:F23"/>
    <mergeCell ref="C12:D12"/>
    <mergeCell ref="C13:D13"/>
    <mergeCell ref="E14:F14"/>
    <mergeCell ref="E15:F15"/>
    <mergeCell ref="E16:F16"/>
    <mergeCell ref="E17:F17"/>
    <mergeCell ref="E24:F24"/>
    <mergeCell ref="E25:F25"/>
    <mergeCell ref="E26:F26"/>
    <mergeCell ref="E27:F27"/>
    <mergeCell ref="E28:F28"/>
    <mergeCell ref="E29:F29"/>
    <mergeCell ref="E18:F18"/>
    <mergeCell ref="E19:F19"/>
    <mergeCell ref="E20:F20"/>
    <mergeCell ref="E36:F36"/>
    <mergeCell ref="E37:F37"/>
    <mergeCell ref="E38:F38"/>
    <mergeCell ref="E39:F39"/>
    <mergeCell ref="E40:F40"/>
    <mergeCell ref="E41:F41"/>
    <mergeCell ref="E30:F30"/>
    <mergeCell ref="E31:F31"/>
    <mergeCell ref="E32:F32"/>
    <mergeCell ref="E33:F33"/>
    <mergeCell ref="E34:F34"/>
    <mergeCell ref="E35:F35"/>
    <mergeCell ref="E48:F48"/>
    <mergeCell ref="E49:F49"/>
    <mergeCell ref="E50:F50"/>
    <mergeCell ref="E51:F51"/>
    <mergeCell ref="E52:F52"/>
    <mergeCell ref="E53:F53"/>
    <mergeCell ref="E42:F42"/>
    <mergeCell ref="E43:F43"/>
    <mergeCell ref="E44:F44"/>
    <mergeCell ref="E45:F45"/>
    <mergeCell ref="E46:F46"/>
    <mergeCell ref="E47:F47"/>
    <mergeCell ref="E60:F60"/>
    <mergeCell ref="E61:F61"/>
    <mergeCell ref="C62:D62"/>
    <mergeCell ref="E63:F63"/>
    <mergeCell ref="E64:F64"/>
    <mergeCell ref="E65:F65"/>
    <mergeCell ref="E54:F54"/>
    <mergeCell ref="E55:F55"/>
    <mergeCell ref="E56:F56"/>
    <mergeCell ref="E57:F57"/>
    <mergeCell ref="E58:F58"/>
    <mergeCell ref="E59:F59"/>
    <mergeCell ref="E72:F72"/>
    <mergeCell ref="E73:F73"/>
    <mergeCell ref="C74:D74"/>
    <mergeCell ref="E75:F75"/>
    <mergeCell ref="E76:F76"/>
    <mergeCell ref="E77:F77"/>
    <mergeCell ref="E66:F66"/>
    <mergeCell ref="E67:F67"/>
    <mergeCell ref="E68:F68"/>
    <mergeCell ref="E69:F69"/>
    <mergeCell ref="E70:F70"/>
    <mergeCell ref="E71:F71"/>
    <mergeCell ref="E84:F84"/>
    <mergeCell ref="E85:F85"/>
    <mergeCell ref="E86:F86"/>
    <mergeCell ref="E87:F87"/>
    <mergeCell ref="E88:F88"/>
    <mergeCell ref="E89:F89"/>
    <mergeCell ref="E78:F78"/>
    <mergeCell ref="E79:F79"/>
    <mergeCell ref="C80:D80"/>
    <mergeCell ref="E81:F81"/>
    <mergeCell ref="E82:F82"/>
    <mergeCell ref="E83:F83"/>
    <mergeCell ref="E96:F96"/>
    <mergeCell ref="E97:F97"/>
    <mergeCell ref="C98:D98"/>
    <mergeCell ref="E99:F99"/>
    <mergeCell ref="E100:F100"/>
    <mergeCell ref="E101:F101"/>
    <mergeCell ref="E90:F90"/>
    <mergeCell ref="E91:F91"/>
    <mergeCell ref="C92:D92"/>
    <mergeCell ref="E93:F93"/>
    <mergeCell ref="E94:F94"/>
    <mergeCell ref="E95:F95"/>
    <mergeCell ref="E108:F108"/>
    <mergeCell ref="E109:F109"/>
    <mergeCell ref="C110:D110"/>
    <mergeCell ref="E111:F111"/>
    <mergeCell ref="E112:F112"/>
    <mergeCell ref="E113:F113"/>
    <mergeCell ref="E102:F102"/>
    <mergeCell ref="E103:F103"/>
    <mergeCell ref="E104:F104"/>
    <mergeCell ref="E105:F105"/>
    <mergeCell ref="E106:F106"/>
    <mergeCell ref="E107:F107"/>
    <mergeCell ref="E120:F120"/>
    <mergeCell ref="E121:F121"/>
    <mergeCell ref="E122:F122"/>
    <mergeCell ref="E123:F123"/>
    <mergeCell ref="E124:F124"/>
    <mergeCell ref="E125:F125"/>
    <mergeCell ref="E114:F114"/>
    <mergeCell ref="E115:F115"/>
    <mergeCell ref="C116:D116"/>
    <mergeCell ref="E117:F117"/>
    <mergeCell ref="E118:F118"/>
    <mergeCell ref="E119:F119"/>
    <mergeCell ref="E132:F132"/>
    <mergeCell ref="E133:F133"/>
    <mergeCell ref="C134:D134"/>
    <mergeCell ref="E135:F135"/>
    <mergeCell ref="E136:F136"/>
    <mergeCell ref="E137:F137"/>
    <mergeCell ref="E126:F126"/>
    <mergeCell ref="E127:F127"/>
    <mergeCell ref="C128:D128"/>
    <mergeCell ref="E129:F129"/>
    <mergeCell ref="E130:F130"/>
    <mergeCell ref="E131:F131"/>
    <mergeCell ref="E144:F144"/>
    <mergeCell ref="E145:F145"/>
    <mergeCell ref="C146:D146"/>
    <mergeCell ref="E147:F147"/>
    <mergeCell ref="E148:F148"/>
    <mergeCell ref="E149:F149"/>
    <mergeCell ref="E138:F138"/>
    <mergeCell ref="E139:F139"/>
    <mergeCell ref="E140:F140"/>
    <mergeCell ref="E141:F141"/>
    <mergeCell ref="E142:F142"/>
    <mergeCell ref="E143:F143"/>
    <mergeCell ref="E156:F156"/>
    <mergeCell ref="E157:F157"/>
    <mergeCell ref="E158:F158"/>
    <mergeCell ref="E159:F159"/>
    <mergeCell ref="E160:F160"/>
    <mergeCell ref="C161:D161"/>
    <mergeCell ref="E150:F150"/>
    <mergeCell ref="E151:F151"/>
    <mergeCell ref="E152:F152"/>
    <mergeCell ref="E153:F153"/>
    <mergeCell ref="C154:D154"/>
    <mergeCell ref="E155:F155"/>
    <mergeCell ref="E168:F168"/>
    <mergeCell ref="C169:D169"/>
    <mergeCell ref="E170:F170"/>
    <mergeCell ref="E171:F171"/>
    <mergeCell ref="E172:F172"/>
    <mergeCell ref="E173:F173"/>
    <mergeCell ref="E162:F162"/>
    <mergeCell ref="E163:F163"/>
    <mergeCell ref="E164:F164"/>
    <mergeCell ref="C165:D165"/>
    <mergeCell ref="E166:F166"/>
    <mergeCell ref="E167:F167"/>
    <mergeCell ref="E180:F180"/>
    <mergeCell ref="E181:F181"/>
    <mergeCell ref="E182:F182"/>
    <mergeCell ref="E183:F183"/>
    <mergeCell ref="C184:D184"/>
    <mergeCell ref="E185:F185"/>
    <mergeCell ref="C174:D174"/>
    <mergeCell ref="E175:F175"/>
    <mergeCell ref="E176:F176"/>
    <mergeCell ref="E177:F177"/>
    <mergeCell ref="E178:F178"/>
    <mergeCell ref="C179:D179"/>
    <mergeCell ref="E192:F192"/>
    <mergeCell ref="C193:D193"/>
    <mergeCell ref="E194:F194"/>
    <mergeCell ref="E195:F195"/>
    <mergeCell ref="E196:F196"/>
    <mergeCell ref="E197:F197"/>
    <mergeCell ref="E186:F186"/>
    <mergeCell ref="E187:F187"/>
    <mergeCell ref="C188:D188"/>
    <mergeCell ref="E189:F189"/>
    <mergeCell ref="E190:F190"/>
    <mergeCell ref="E191:F191"/>
    <mergeCell ref="E204:F204"/>
    <mergeCell ref="E205:F205"/>
    <mergeCell ref="E206:F206"/>
    <mergeCell ref="E207:F207"/>
    <mergeCell ref="C208:D208"/>
    <mergeCell ref="E209:F209"/>
    <mergeCell ref="C198:D198"/>
    <mergeCell ref="E199:F199"/>
    <mergeCell ref="E200:F200"/>
    <mergeCell ref="E201:F201"/>
    <mergeCell ref="E202:F202"/>
    <mergeCell ref="C203:D203"/>
    <mergeCell ref="E216:F216"/>
    <mergeCell ref="E217:F217"/>
    <mergeCell ref="E218:F218"/>
    <mergeCell ref="C219:D219"/>
    <mergeCell ref="E220:F220"/>
    <mergeCell ref="E221:F221"/>
    <mergeCell ref="E210:F210"/>
    <mergeCell ref="E211:F211"/>
    <mergeCell ref="E212:F212"/>
    <mergeCell ref="C213:D213"/>
    <mergeCell ref="E214:F214"/>
    <mergeCell ref="E215:F215"/>
    <mergeCell ref="E228:F228"/>
    <mergeCell ref="E229:F229"/>
    <mergeCell ref="E230:F230"/>
    <mergeCell ref="C231:D231"/>
    <mergeCell ref="E232:F232"/>
    <mergeCell ref="E233:F233"/>
    <mergeCell ref="E222:F222"/>
    <mergeCell ref="E223:F223"/>
    <mergeCell ref="E224:F224"/>
    <mergeCell ref="C225:D225"/>
    <mergeCell ref="E226:F226"/>
    <mergeCell ref="E227:F227"/>
    <mergeCell ref="E240:F240"/>
    <mergeCell ref="E241:F241"/>
    <mergeCell ref="E242:F242"/>
    <mergeCell ref="C243:D243"/>
    <mergeCell ref="E244:F244"/>
    <mergeCell ref="E245:F245"/>
    <mergeCell ref="E234:F234"/>
    <mergeCell ref="E235:F235"/>
    <mergeCell ref="E236:F236"/>
    <mergeCell ref="C237:D237"/>
    <mergeCell ref="E238:F238"/>
    <mergeCell ref="E239:F239"/>
    <mergeCell ref="E252:F252"/>
    <mergeCell ref="E253:F253"/>
    <mergeCell ref="C254:D254"/>
    <mergeCell ref="E255:F255"/>
    <mergeCell ref="E256:F256"/>
    <mergeCell ref="E257:F257"/>
    <mergeCell ref="E246:F246"/>
    <mergeCell ref="E247:F247"/>
    <mergeCell ref="E248:F248"/>
    <mergeCell ref="C249:D249"/>
    <mergeCell ref="C250:D250"/>
    <mergeCell ref="E251:F251"/>
    <mergeCell ref="E264:F264"/>
    <mergeCell ref="E265:F265"/>
    <mergeCell ref="E266:F266"/>
    <mergeCell ref="E267:F267"/>
    <mergeCell ref="E268:F268"/>
    <mergeCell ref="E269:F269"/>
    <mergeCell ref="C258:D258"/>
    <mergeCell ref="E259:F259"/>
    <mergeCell ref="E260:F260"/>
    <mergeCell ref="E261:F261"/>
    <mergeCell ref="E262:F262"/>
    <mergeCell ref="C263:D263"/>
    <mergeCell ref="E276:F276"/>
    <mergeCell ref="E277:F277"/>
    <mergeCell ref="E278:F278"/>
    <mergeCell ref="E279:F279"/>
    <mergeCell ref="E280:F280"/>
    <mergeCell ref="E281:F281"/>
    <mergeCell ref="E270:F270"/>
    <mergeCell ref="E271:F271"/>
    <mergeCell ref="C272:D272"/>
    <mergeCell ref="E273:F273"/>
    <mergeCell ref="E274:F274"/>
    <mergeCell ref="E275:F275"/>
    <mergeCell ref="C298:D298"/>
    <mergeCell ref="E299:F299"/>
    <mergeCell ref="C288:D288"/>
    <mergeCell ref="E289:F289"/>
    <mergeCell ref="E290:F290"/>
    <mergeCell ref="E291:F291"/>
    <mergeCell ref="E292:F292"/>
    <mergeCell ref="C293:D293"/>
    <mergeCell ref="E282:F282"/>
    <mergeCell ref="E283:F283"/>
    <mergeCell ref="E284:F284"/>
    <mergeCell ref="E285:F285"/>
    <mergeCell ref="E286:F286"/>
    <mergeCell ref="E287:F287"/>
    <mergeCell ref="E300:F300"/>
    <mergeCell ref="E301:F301"/>
    <mergeCell ref="E302:F302"/>
    <mergeCell ref="E303:F303"/>
    <mergeCell ref="E304:F304"/>
    <mergeCell ref="E305:F305"/>
    <mergeCell ref="E294:F294"/>
    <mergeCell ref="E295:F295"/>
    <mergeCell ref="E296:F296"/>
    <mergeCell ref="E297:F297"/>
    <mergeCell ref="E312:F312"/>
    <mergeCell ref="E313:F313"/>
    <mergeCell ref="E314:F314"/>
    <mergeCell ref="E315:F315"/>
    <mergeCell ref="E316:F316"/>
    <mergeCell ref="E317:F317"/>
    <mergeCell ref="E306:F306"/>
    <mergeCell ref="C307:D307"/>
    <mergeCell ref="E308:F308"/>
    <mergeCell ref="E309:F309"/>
    <mergeCell ref="E310:F310"/>
    <mergeCell ref="E311:F311"/>
    <mergeCell ref="E324:F324"/>
    <mergeCell ref="E325:F325"/>
    <mergeCell ref="E326:F326"/>
    <mergeCell ref="E327:F327"/>
    <mergeCell ref="E328:F328"/>
    <mergeCell ref="E329:F329"/>
    <mergeCell ref="E318:F318"/>
    <mergeCell ref="E319:F319"/>
    <mergeCell ref="E320:F320"/>
    <mergeCell ref="E321:F321"/>
    <mergeCell ref="E322:F322"/>
    <mergeCell ref="E323:F323"/>
    <mergeCell ref="E336:F336"/>
    <mergeCell ref="E337:F337"/>
    <mergeCell ref="C338:D338"/>
    <mergeCell ref="E339:F339"/>
    <mergeCell ref="E340:F340"/>
    <mergeCell ref="E341:F341"/>
    <mergeCell ref="E330:F330"/>
    <mergeCell ref="E331:F331"/>
    <mergeCell ref="E332:F332"/>
    <mergeCell ref="C333:D333"/>
    <mergeCell ref="C334:D334"/>
    <mergeCell ref="C335:D335"/>
    <mergeCell ref="C348:D348"/>
    <mergeCell ref="E349:F349"/>
    <mergeCell ref="E350:F350"/>
    <mergeCell ref="E351:F351"/>
    <mergeCell ref="E352:F352"/>
    <mergeCell ref="C353:D353"/>
    <mergeCell ref="E342:F342"/>
    <mergeCell ref="C343:D343"/>
    <mergeCell ref="E344:F344"/>
    <mergeCell ref="E345:F345"/>
    <mergeCell ref="E346:F346"/>
    <mergeCell ref="E347:F347"/>
    <mergeCell ref="C360:D360"/>
    <mergeCell ref="E361:F361"/>
    <mergeCell ref="E362:F362"/>
    <mergeCell ref="E363:F363"/>
    <mergeCell ref="E364:F364"/>
    <mergeCell ref="C365:D365"/>
    <mergeCell ref="E354:F354"/>
    <mergeCell ref="E355:F355"/>
    <mergeCell ref="E356:F356"/>
    <mergeCell ref="E357:F357"/>
    <mergeCell ref="C358:D358"/>
    <mergeCell ref="E359:F359"/>
    <mergeCell ref="E372:F372"/>
    <mergeCell ref="E373:F373"/>
    <mergeCell ref="C374:D374"/>
    <mergeCell ref="E375:F375"/>
    <mergeCell ref="E376:F376"/>
    <mergeCell ref="E377:F377"/>
    <mergeCell ref="E366:F366"/>
    <mergeCell ref="E367:F367"/>
    <mergeCell ref="C368:D368"/>
    <mergeCell ref="C369:D369"/>
    <mergeCell ref="E370:F370"/>
    <mergeCell ref="E371:F371"/>
    <mergeCell ref="C384:D384"/>
    <mergeCell ref="E385:F385"/>
    <mergeCell ref="E386:F386"/>
    <mergeCell ref="E387:F387"/>
    <mergeCell ref="E388:F388"/>
    <mergeCell ref="C389:D389"/>
    <mergeCell ref="E378:F378"/>
    <mergeCell ref="C379:D379"/>
    <mergeCell ref="E380:F380"/>
    <mergeCell ref="E381:F381"/>
    <mergeCell ref="E382:F382"/>
    <mergeCell ref="E383:F383"/>
    <mergeCell ref="E396:F396"/>
    <mergeCell ref="C397:D397"/>
    <mergeCell ref="E398:F398"/>
    <mergeCell ref="E399:F399"/>
    <mergeCell ref="E400:F400"/>
    <mergeCell ref="E401:F401"/>
    <mergeCell ref="E390:F390"/>
    <mergeCell ref="E391:F391"/>
    <mergeCell ref="E392:F392"/>
    <mergeCell ref="E393:F393"/>
    <mergeCell ref="C394:D394"/>
    <mergeCell ref="E395:F395"/>
    <mergeCell ref="C408:D408"/>
    <mergeCell ref="C409:D409"/>
    <mergeCell ref="E410:F410"/>
    <mergeCell ref="E411:F411"/>
    <mergeCell ref="E412:F412"/>
    <mergeCell ref="C413:D413"/>
    <mergeCell ref="E402:F402"/>
    <mergeCell ref="C403:D403"/>
    <mergeCell ref="E404:F404"/>
    <mergeCell ref="E405:F405"/>
    <mergeCell ref="E406:F406"/>
    <mergeCell ref="E407:F407"/>
    <mergeCell ref="E420:F420"/>
    <mergeCell ref="E421:F421"/>
    <mergeCell ref="C422:D422"/>
    <mergeCell ref="E423:F423"/>
    <mergeCell ref="E424:F424"/>
    <mergeCell ref="E425:F425"/>
    <mergeCell ref="E414:F414"/>
    <mergeCell ref="E415:F415"/>
    <mergeCell ref="E416:F416"/>
    <mergeCell ref="E417:F417"/>
    <mergeCell ref="E418:F418"/>
    <mergeCell ref="E419:F419"/>
    <mergeCell ref="C435:D435"/>
    <mergeCell ref="E436:F436"/>
    <mergeCell ref="E437:F437"/>
    <mergeCell ref="E426:F426"/>
    <mergeCell ref="E427:F427"/>
    <mergeCell ref="E428:F428"/>
    <mergeCell ref="E429:F429"/>
    <mergeCell ref="E430:F430"/>
    <mergeCell ref="C431:D431"/>
    <mergeCell ref="E438:F438"/>
    <mergeCell ref="E439:F439"/>
    <mergeCell ref="E440:F440"/>
    <mergeCell ref="E441:F441"/>
    <mergeCell ref="E442:F442"/>
    <mergeCell ref="E443:F443"/>
    <mergeCell ref="E432:F432"/>
    <mergeCell ref="E433:F433"/>
    <mergeCell ref="E434:F434"/>
    <mergeCell ref="E450:F450"/>
    <mergeCell ref="E451:F451"/>
    <mergeCell ref="E452:F452"/>
    <mergeCell ref="E453:F453"/>
    <mergeCell ref="E454:F454"/>
    <mergeCell ref="C455:D455"/>
    <mergeCell ref="E444:F444"/>
    <mergeCell ref="E445:F445"/>
    <mergeCell ref="C446:D446"/>
    <mergeCell ref="E447:F447"/>
    <mergeCell ref="E448:F448"/>
    <mergeCell ref="E449:F449"/>
    <mergeCell ref="E474:F474"/>
    <mergeCell ref="E475:F475"/>
    <mergeCell ref="E476:F476"/>
    <mergeCell ref="E477:F477"/>
    <mergeCell ref="E478:F478"/>
    <mergeCell ref="C8:E8"/>
    <mergeCell ref="E468:F468"/>
    <mergeCell ref="C469:D469"/>
    <mergeCell ref="E470:F470"/>
    <mergeCell ref="E471:F471"/>
    <mergeCell ref="E472:F472"/>
    <mergeCell ref="E473:F473"/>
    <mergeCell ref="E462:F462"/>
    <mergeCell ref="E463:F463"/>
    <mergeCell ref="C464:D464"/>
    <mergeCell ref="E465:F465"/>
    <mergeCell ref="E466:F466"/>
    <mergeCell ref="E467:F467"/>
    <mergeCell ref="E456:F456"/>
    <mergeCell ref="E457:F457"/>
    <mergeCell ref="E458:F458"/>
    <mergeCell ref="E459:F459"/>
    <mergeCell ref="E460:F460"/>
    <mergeCell ref="E461:F461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73" fitToHeight="1000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5</vt:i4>
      </vt:variant>
    </vt:vector>
  </HeadingPairs>
  <TitlesOfParts>
    <vt:vector size="8" baseType="lpstr">
      <vt:lpstr>ресурс</vt:lpstr>
      <vt:lpstr>единич</vt:lpstr>
      <vt:lpstr>ВОР</vt:lpstr>
      <vt:lpstr>ВОР!Заголовки_для_печати</vt:lpstr>
      <vt:lpstr>единич!Заголовки_для_печати</vt:lpstr>
      <vt:lpstr>ВОР!Область_печати</vt:lpstr>
      <vt:lpstr>единич!Область_печати</vt:lpstr>
      <vt:lpstr>ресурс!Область_печати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AKMAL</dc:creator>
  <cp:lastModifiedBy>User</cp:lastModifiedBy>
  <cp:lastPrinted>2026-01-26T05:44:11Z</cp:lastPrinted>
  <dcterms:created xsi:type="dcterms:W3CDTF">2025-06-12T08:49:10Z</dcterms:created>
  <dcterms:modified xsi:type="dcterms:W3CDTF">2026-01-26T07:13:21Z</dcterms:modified>
</cp:coreProperties>
</file>